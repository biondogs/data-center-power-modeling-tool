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verca1/Desktop/"/>
    </mc:Choice>
  </mc:AlternateContent>
  <xr:revisionPtr revIDLastSave="0" documentId="8_{364B882A-DE53-4E98-8850-3EE031598B91}" xr6:coauthVersionLast="47" xr6:coauthVersionMax="47" xr10:uidLastSave="{00000000-0000-0000-0000-000000000000}"/>
  <bookViews>
    <workbookView xWindow="0" yWindow="760" windowWidth="30240" windowHeight="17100" tabRatio="713" firstSheet="1" activeTab="1" xr2:uid="{A9EA9E95-A8D3-46E9-BE3E-EDB086348E12}"/>
  </bookViews>
  <sheets>
    <sheet name="Model Summary" sheetId="25" r:id="rId1"/>
    <sheet name="BayView" sheetId="4" r:id="rId2"/>
    <sheet name="Mt.Wash" sheetId="23" r:id="rId3"/>
    <sheet name="Bloomberg" sheetId="24" r:id="rId4"/>
    <sheet name="Baseline Power" sheetId="14" r:id="rId5"/>
    <sheet name="Change Log" sheetId="26" r:id="rId6"/>
    <sheet name="Power Blocks" sheetId="1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4" l="1"/>
  <c r="X104" i="4"/>
  <c r="Q119" i="4"/>
  <c r="P167" i="4"/>
  <c r="O167" i="4"/>
  <c r="N167" i="4"/>
  <c r="M167" i="4"/>
  <c r="L167" i="4"/>
  <c r="K167" i="4"/>
  <c r="O114" i="4"/>
  <c r="N114" i="4"/>
  <c r="M114" i="4"/>
  <c r="L114" i="4"/>
  <c r="K114" i="4"/>
  <c r="E114" i="4"/>
  <c r="D114" i="4"/>
  <c r="C114" i="4"/>
  <c r="C167" i="4" s="1"/>
  <c r="AD177" i="23"/>
  <c r="AC177" i="23"/>
  <c r="AB177" i="23"/>
  <c r="AA177" i="23"/>
  <c r="Z177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C177" i="23"/>
  <c r="AD176" i="23"/>
  <c r="AC176" i="23"/>
  <c r="AB176" i="23"/>
  <c r="AA176" i="23"/>
  <c r="Z176" i="23"/>
  <c r="Y176" i="23"/>
  <c r="X176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K176" i="23"/>
  <c r="C176" i="23"/>
  <c r="AD175" i="23"/>
  <c r="AC175" i="23"/>
  <c r="AB175" i="23"/>
  <c r="AA175" i="23"/>
  <c r="Z175" i="23"/>
  <c r="Y175" i="23"/>
  <c r="X175" i="23"/>
  <c r="W175" i="23"/>
  <c r="V175" i="23"/>
  <c r="U175" i="23"/>
  <c r="T175" i="23"/>
  <c r="S175" i="23"/>
  <c r="R175" i="23"/>
  <c r="Q175" i="23"/>
  <c r="P175" i="23"/>
  <c r="O175" i="23"/>
  <c r="N175" i="23"/>
  <c r="M175" i="23"/>
  <c r="L175" i="23"/>
  <c r="K175" i="23"/>
  <c r="C175" i="23"/>
  <c r="AD174" i="23"/>
  <c r="AC174" i="23"/>
  <c r="AB174" i="23"/>
  <c r="AA174" i="23"/>
  <c r="Z174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C174" i="23"/>
  <c r="AD173" i="23"/>
  <c r="AC173" i="23"/>
  <c r="AB173" i="23"/>
  <c r="AA173" i="23"/>
  <c r="Z173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C173" i="23"/>
  <c r="AD172" i="23"/>
  <c r="AC172" i="23"/>
  <c r="AB172" i="23"/>
  <c r="AA172" i="23"/>
  <c r="Z172" i="23"/>
  <c r="Y172" i="23"/>
  <c r="X172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K172" i="23"/>
  <c r="C172" i="23"/>
  <c r="AD171" i="23"/>
  <c r="AC171" i="23"/>
  <c r="AB171" i="23"/>
  <c r="AA171" i="23"/>
  <c r="Z171" i="23"/>
  <c r="Y171" i="23"/>
  <c r="X171" i="23"/>
  <c r="W171" i="23"/>
  <c r="V171" i="23"/>
  <c r="U171" i="23"/>
  <c r="T171" i="23"/>
  <c r="S171" i="23"/>
  <c r="R171" i="23"/>
  <c r="Q171" i="23"/>
  <c r="P171" i="23"/>
  <c r="O171" i="23"/>
  <c r="N171" i="23"/>
  <c r="M171" i="23"/>
  <c r="L171" i="23"/>
  <c r="K171" i="23"/>
  <c r="C171" i="23"/>
  <c r="AD170" i="23"/>
  <c r="AC170" i="23"/>
  <c r="AB170" i="23"/>
  <c r="AA170" i="23"/>
  <c r="Z170" i="23"/>
  <c r="Y170" i="23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K170" i="23"/>
  <c r="C170" i="23"/>
  <c r="AD169" i="23"/>
  <c r="AC169" i="23"/>
  <c r="AB169" i="23"/>
  <c r="AA169" i="23"/>
  <c r="Z169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C169" i="23"/>
  <c r="AD168" i="23"/>
  <c r="AC168" i="23"/>
  <c r="AB168" i="23"/>
  <c r="AA168" i="23"/>
  <c r="Z168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C168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C167" i="23"/>
  <c r="AD166" i="23"/>
  <c r="AC166" i="23"/>
  <c r="AB166" i="23"/>
  <c r="AA166" i="23"/>
  <c r="P166" i="23"/>
  <c r="O166" i="23"/>
  <c r="N166" i="23"/>
  <c r="M166" i="23"/>
  <c r="L166" i="23"/>
  <c r="K166" i="23"/>
  <c r="C166" i="23"/>
  <c r="AD165" i="23"/>
  <c r="AC165" i="23"/>
  <c r="AB165" i="23"/>
  <c r="AA165" i="23"/>
  <c r="Z165" i="23"/>
  <c r="Y165" i="23"/>
  <c r="M165" i="23"/>
  <c r="L165" i="23"/>
  <c r="K165" i="23"/>
  <c r="C165" i="23"/>
  <c r="AD164" i="23"/>
  <c r="AC164" i="23"/>
  <c r="AB164" i="23"/>
  <c r="AA164" i="23"/>
  <c r="Z164" i="23"/>
  <c r="Y164" i="23"/>
  <c r="M164" i="23"/>
  <c r="L164" i="23"/>
  <c r="K164" i="23"/>
  <c r="C164" i="23"/>
  <c r="AD163" i="23"/>
  <c r="AC163" i="23"/>
  <c r="M163" i="23"/>
  <c r="L163" i="23"/>
  <c r="K163" i="23"/>
  <c r="C163" i="23"/>
  <c r="P162" i="23"/>
  <c r="O162" i="23"/>
  <c r="N162" i="23"/>
  <c r="M162" i="23"/>
  <c r="L162" i="23"/>
  <c r="K162" i="23"/>
  <c r="L161" i="23"/>
  <c r="K161" i="23"/>
  <c r="C161" i="23"/>
  <c r="L160" i="23"/>
  <c r="K160" i="23"/>
  <c r="C160" i="23"/>
  <c r="L159" i="23"/>
  <c r="K159" i="23"/>
  <c r="C159" i="23"/>
  <c r="C158" i="23"/>
  <c r="C157" i="23"/>
  <c r="AD124" i="23"/>
  <c r="AC124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M124" i="23"/>
  <c r="L124" i="23"/>
  <c r="K124" i="23"/>
  <c r="E124" i="23"/>
  <c r="D124" i="23"/>
  <c r="C124" i="23"/>
  <c r="AD123" i="23"/>
  <c r="AC123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K123" i="23"/>
  <c r="E123" i="23"/>
  <c r="D123" i="23"/>
  <c r="C123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E122" i="23"/>
  <c r="D122" i="23"/>
  <c r="C122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E121" i="23"/>
  <c r="D121" i="23"/>
  <c r="C121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E120" i="23"/>
  <c r="D120" i="23"/>
  <c r="C120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E119" i="23"/>
  <c r="D119" i="23"/>
  <c r="C119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E118" i="23"/>
  <c r="D118" i="23"/>
  <c r="C118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E117" i="23"/>
  <c r="D117" i="23"/>
  <c r="C117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E116" i="23"/>
  <c r="D116" i="23"/>
  <c r="C116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E115" i="23"/>
  <c r="D115" i="23"/>
  <c r="C115" i="23"/>
  <c r="AD114" i="23"/>
  <c r="AC114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K114" i="23"/>
  <c r="E114" i="23"/>
  <c r="D114" i="23"/>
  <c r="C114" i="23"/>
  <c r="AD113" i="23"/>
  <c r="AC113" i="23"/>
  <c r="AB113" i="23"/>
  <c r="AA113" i="23"/>
  <c r="O113" i="23"/>
  <c r="N113" i="23"/>
  <c r="M113" i="23"/>
  <c r="L113" i="23"/>
  <c r="K113" i="23"/>
  <c r="E113" i="23"/>
  <c r="D113" i="23"/>
  <c r="C113" i="23"/>
  <c r="AD112" i="23"/>
  <c r="AC112" i="23"/>
  <c r="AB112" i="23"/>
  <c r="AA112" i="23"/>
  <c r="Z112" i="23"/>
  <c r="Y112" i="23"/>
  <c r="L112" i="23"/>
  <c r="K112" i="23"/>
  <c r="E112" i="23"/>
  <c r="D112" i="23"/>
  <c r="C112" i="23"/>
  <c r="AD111" i="23"/>
  <c r="AC111" i="23"/>
  <c r="AB111" i="23"/>
  <c r="AA111" i="23"/>
  <c r="Z111" i="23"/>
  <c r="Y111" i="23"/>
  <c r="L111" i="23"/>
  <c r="K111" i="23"/>
  <c r="E111" i="23"/>
  <c r="D111" i="23"/>
  <c r="C111" i="23"/>
  <c r="AD110" i="23"/>
  <c r="AC110" i="23"/>
  <c r="L110" i="23"/>
  <c r="K110" i="23"/>
  <c r="E110" i="23"/>
  <c r="D110" i="23"/>
  <c r="C110" i="23"/>
  <c r="O109" i="23"/>
  <c r="N109" i="23"/>
  <c r="M109" i="23"/>
  <c r="L109" i="23"/>
  <c r="K109" i="23"/>
  <c r="E109" i="23"/>
  <c r="D109" i="23"/>
  <c r="C109" i="23"/>
  <c r="C162" i="23" s="1"/>
  <c r="K108" i="23"/>
  <c r="E108" i="23"/>
  <c r="D108" i="23"/>
  <c r="C108" i="23"/>
  <c r="K107" i="23"/>
  <c r="E107" i="23"/>
  <c r="D107" i="23"/>
  <c r="C107" i="23"/>
  <c r="K106" i="23"/>
  <c r="E106" i="23"/>
  <c r="D106" i="23"/>
  <c r="C106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H105" i="23"/>
  <c r="E105" i="23"/>
  <c r="D105" i="23"/>
  <c r="C105" i="23"/>
  <c r="E104" i="23"/>
  <c r="D104" i="23"/>
  <c r="C104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F53" i="23"/>
  <c r="F105" i="23" s="1"/>
  <c r="F158" i="23" s="1"/>
  <c r="F57" i="4"/>
  <c r="G57" i="4" s="1"/>
  <c r="F51" i="4"/>
  <c r="F76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E128" i="4"/>
  <c r="D128" i="4"/>
  <c r="C128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E127" i="4"/>
  <c r="D127" i="4"/>
  <c r="C127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E126" i="4"/>
  <c r="D126" i="4"/>
  <c r="C126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E125" i="4"/>
  <c r="D125" i="4"/>
  <c r="C125" i="4"/>
  <c r="AG13" i="18"/>
  <c r="AH13" i="18" s="1"/>
  <c r="AI13" i="18" s="1"/>
  <c r="AJ13" i="18" s="1"/>
  <c r="AK13" i="18" s="1"/>
  <c r="AE15" i="18"/>
  <c r="D68" i="25"/>
  <c r="D67" i="25"/>
  <c r="D66" i="25"/>
  <c r="S13" i="18"/>
  <c r="T13" i="18"/>
  <c r="P15" i="18"/>
  <c r="P13" i="18"/>
  <c r="P11" i="18"/>
  <c r="Q6" i="18"/>
  <c r="R5" i="18"/>
  <c r="R4" i="18"/>
  <c r="R42" i="14"/>
  <c r="R43" i="14" s="1"/>
  <c r="R40" i="14"/>
  <c r="R41" i="14" s="1"/>
  <c r="R38" i="14"/>
  <c r="R39" i="14" s="1"/>
  <c r="R36" i="14"/>
  <c r="R37" i="14" s="1"/>
  <c r="R34" i="14"/>
  <c r="R35" i="14" s="1"/>
  <c r="R29" i="14"/>
  <c r="R28" i="14"/>
  <c r="R80" i="14" s="1"/>
  <c r="R81" i="14" s="1"/>
  <c r="R27" i="14"/>
  <c r="R78" i="14" s="1"/>
  <c r="R79" i="14" s="1"/>
  <c r="R26" i="14"/>
  <c r="R76" i="14" s="1"/>
  <c r="R77" i="14" s="1"/>
  <c r="R25" i="14"/>
  <c r="R74" i="14" s="1"/>
  <c r="R75" i="14" s="1"/>
  <c r="R24" i="14"/>
  <c r="R72" i="14" s="1"/>
  <c r="R73" i="14" s="1"/>
  <c r="R23" i="14"/>
  <c r="R70" i="14" s="1"/>
  <c r="R71" i="14" s="1"/>
  <c r="R22" i="14"/>
  <c r="R68" i="14" s="1"/>
  <c r="R69" i="14" s="1"/>
  <c r="R21" i="14"/>
  <c r="R66" i="14" s="1"/>
  <c r="R67" i="14" s="1"/>
  <c r="R20" i="14"/>
  <c r="R64" i="14" s="1"/>
  <c r="R65" i="14" s="1"/>
  <c r="R19" i="14"/>
  <c r="R62" i="14" s="1"/>
  <c r="R63" i="14" s="1"/>
  <c r="R18" i="14"/>
  <c r="R60" i="14" s="1"/>
  <c r="R61" i="14" s="1"/>
  <c r="R17" i="14"/>
  <c r="R58" i="14" s="1"/>
  <c r="R59" i="14" s="1"/>
  <c r="R16" i="14"/>
  <c r="R56" i="14" s="1"/>
  <c r="R57" i="14" s="1"/>
  <c r="R15" i="14"/>
  <c r="R54" i="14" s="1"/>
  <c r="R55" i="14" s="1"/>
  <c r="R14" i="14"/>
  <c r="R52" i="14" s="1"/>
  <c r="R53" i="14" s="1"/>
  <c r="R13" i="14"/>
  <c r="R50" i="14" s="1"/>
  <c r="R51" i="14" s="1"/>
  <c r="R12" i="14"/>
  <c r="R48" i="14" s="1"/>
  <c r="R49" i="14" s="1"/>
  <c r="R11" i="14"/>
  <c r="R46" i="14" s="1"/>
  <c r="R47" i="14" s="1"/>
  <c r="R10" i="14"/>
  <c r="R44" i="14" s="1"/>
  <c r="R45" i="14" s="1"/>
  <c r="R9" i="14"/>
  <c r="R8" i="14"/>
  <c r="R7" i="14"/>
  <c r="R6" i="14"/>
  <c r="R5" i="14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AD175" i="4"/>
  <c r="AC175" i="4"/>
  <c r="P175" i="4"/>
  <c r="O175" i="4"/>
  <c r="N175" i="4"/>
  <c r="M175" i="4"/>
  <c r="L175" i="4"/>
  <c r="K175" i="4"/>
  <c r="AD174" i="4"/>
  <c r="AC174" i="4"/>
  <c r="P174" i="4"/>
  <c r="O174" i="4"/>
  <c r="N174" i="4"/>
  <c r="M174" i="4"/>
  <c r="L174" i="4"/>
  <c r="K174" i="4"/>
  <c r="AD173" i="4"/>
  <c r="AC173" i="4"/>
  <c r="P173" i="4"/>
  <c r="O173" i="4"/>
  <c r="N173" i="4"/>
  <c r="M173" i="4"/>
  <c r="L173" i="4"/>
  <c r="K173" i="4"/>
  <c r="P172" i="4"/>
  <c r="O172" i="4"/>
  <c r="N172" i="4"/>
  <c r="M172" i="4"/>
  <c r="L172" i="4"/>
  <c r="K172" i="4"/>
  <c r="P171" i="4"/>
  <c r="O171" i="4"/>
  <c r="N171" i="4"/>
  <c r="M171" i="4"/>
  <c r="L171" i="4"/>
  <c r="K171" i="4"/>
  <c r="AD170" i="4"/>
  <c r="AC170" i="4"/>
  <c r="P170" i="4"/>
  <c r="O170" i="4"/>
  <c r="N170" i="4"/>
  <c r="M170" i="4"/>
  <c r="L170" i="4"/>
  <c r="K170" i="4"/>
  <c r="P169" i="4"/>
  <c r="O169" i="4"/>
  <c r="N169" i="4"/>
  <c r="M169" i="4"/>
  <c r="L169" i="4"/>
  <c r="K169" i="4"/>
  <c r="P168" i="4"/>
  <c r="O168" i="4"/>
  <c r="N168" i="4"/>
  <c r="M168" i="4"/>
  <c r="L168" i="4"/>
  <c r="K168" i="4"/>
  <c r="M166" i="4"/>
  <c r="L166" i="4"/>
  <c r="K166" i="4"/>
  <c r="M165" i="4"/>
  <c r="L165" i="4"/>
  <c r="K165" i="4"/>
  <c r="AD164" i="4"/>
  <c r="AC164" i="4"/>
  <c r="M164" i="4"/>
  <c r="L164" i="4"/>
  <c r="K164" i="4"/>
  <c r="AD163" i="4"/>
  <c r="AC163" i="4"/>
  <c r="M163" i="4"/>
  <c r="L163" i="4"/>
  <c r="K163" i="4"/>
  <c r="AD162" i="4"/>
  <c r="AC162" i="4"/>
  <c r="M162" i="4"/>
  <c r="L162" i="4"/>
  <c r="K162" i="4"/>
  <c r="AD161" i="4"/>
  <c r="AC161" i="4"/>
  <c r="AB161" i="4"/>
  <c r="AA161" i="4"/>
  <c r="Z161" i="4"/>
  <c r="Y161" i="4"/>
  <c r="X161" i="4"/>
  <c r="AD160" i="4"/>
  <c r="AC160" i="4"/>
  <c r="AB160" i="4"/>
  <c r="AA160" i="4"/>
  <c r="Z160" i="4"/>
  <c r="Y160" i="4"/>
  <c r="X160" i="4"/>
  <c r="AD159" i="4"/>
  <c r="AC159" i="4"/>
  <c r="AB159" i="4"/>
  <c r="AA159" i="4"/>
  <c r="Z159" i="4"/>
  <c r="Y159" i="4"/>
  <c r="X159" i="4"/>
  <c r="AD158" i="4"/>
  <c r="AC158" i="4"/>
  <c r="AB158" i="4"/>
  <c r="AA158" i="4"/>
  <c r="Z158" i="4"/>
  <c r="Y158" i="4"/>
  <c r="X158" i="4"/>
  <c r="AD157" i="4"/>
  <c r="AC157" i="4"/>
  <c r="AB157" i="4"/>
  <c r="AA157" i="4"/>
  <c r="Z157" i="4"/>
  <c r="Y157" i="4"/>
  <c r="X157" i="4"/>
  <c r="S11" i="18"/>
  <c r="T11" i="18" s="1"/>
  <c r="T12" i="18" s="1"/>
  <c r="Y10" i="18"/>
  <c r="Z10" i="18" s="1"/>
  <c r="AA10" i="18" s="1"/>
  <c r="AB10" i="18" s="1"/>
  <c r="AC10" i="18" s="1"/>
  <c r="AD10" i="18" s="1"/>
  <c r="AE10" i="18" s="1"/>
  <c r="AF10" i="18" s="1"/>
  <c r="AG10" i="18" s="1"/>
  <c r="AH10" i="18" s="1"/>
  <c r="AI10" i="18" s="1"/>
  <c r="AJ10" i="18" s="1"/>
  <c r="AK10" i="18" s="1"/>
  <c r="AL10" i="18" s="1"/>
  <c r="E61" i="25"/>
  <c r="K57" i="25"/>
  <c r="L57" i="25" s="1"/>
  <c r="M57" i="25" s="1"/>
  <c r="N57" i="25" s="1"/>
  <c r="O57" i="25" s="1"/>
  <c r="P57" i="25" s="1"/>
  <c r="Q57" i="25" s="1"/>
  <c r="R57" i="25" s="1"/>
  <c r="S57" i="25" s="1"/>
  <c r="T57" i="25" s="1"/>
  <c r="U57" i="25" s="1"/>
  <c r="V57" i="25" s="1"/>
  <c r="W57" i="25" s="1"/>
  <c r="X57" i="25" s="1"/>
  <c r="AW42" i="24"/>
  <c r="AW40" i="24"/>
  <c r="AW41" i="24" s="1"/>
  <c r="AW38" i="24"/>
  <c r="AW39" i="24" s="1"/>
  <c r="AW36" i="24"/>
  <c r="AW37" i="24" s="1"/>
  <c r="AW35" i="24"/>
  <c r="AW34" i="24"/>
  <c r="AW32" i="24"/>
  <c r="AW33" i="24" s="1"/>
  <c r="AW30" i="24"/>
  <c r="AW31" i="24" s="1"/>
  <c r="AW28" i="24"/>
  <c r="AW29" i="24" s="1"/>
  <c r="AW27" i="24"/>
  <c r="AW26" i="24"/>
  <c r="AW24" i="24"/>
  <c r="AW25" i="24" s="1"/>
  <c r="AW22" i="24"/>
  <c r="AW23" i="24" s="1"/>
  <c r="AW20" i="24"/>
  <c r="AW21" i="24" s="1"/>
  <c r="AW19" i="24"/>
  <c r="AW18" i="24"/>
  <c r="AW16" i="24"/>
  <c r="AW17" i="24" s="1"/>
  <c r="AW14" i="24"/>
  <c r="AW15" i="24" s="1"/>
  <c r="AW12" i="24"/>
  <c r="AW13" i="24" s="1"/>
  <c r="AW11" i="24"/>
  <c r="AW10" i="24"/>
  <c r="AW8" i="24"/>
  <c r="AW9" i="24" s="1"/>
  <c r="AW6" i="24"/>
  <c r="AW7" i="24" s="1"/>
  <c r="AW4" i="24"/>
  <c r="AW5" i="24" s="1"/>
  <c r="Q45" i="24"/>
  <c r="R45" i="24" s="1"/>
  <c r="S45" i="24" s="1"/>
  <c r="T45" i="24" s="1"/>
  <c r="U45" i="24" s="1"/>
  <c r="V45" i="24" s="1"/>
  <c r="W45" i="24" s="1"/>
  <c r="X45" i="24" s="1"/>
  <c r="Y45" i="24" s="1"/>
  <c r="Z45" i="24" s="1"/>
  <c r="AA45" i="24" s="1"/>
  <c r="AB45" i="24" s="1"/>
  <c r="AC45" i="24" s="1"/>
  <c r="AD45" i="24" s="1"/>
  <c r="Q45" i="23"/>
  <c r="R45" i="23" s="1"/>
  <c r="S45" i="23" s="1"/>
  <c r="T45" i="23" s="1"/>
  <c r="U45" i="23" s="1"/>
  <c r="V45" i="23" s="1"/>
  <c r="W45" i="23" s="1"/>
  <c r="X45" i="23" s="1"/>
  <c r="Y45" i="23" s="1"/>
  <c r="Z45" i="23" s="1"/>
  <c r="AA45" i="23" s="1"/>
  <c r="AB45" i="23" s="1"/>
  <c r="AC45" i="23" s="1"/>
  <c r="AD45" i="23" s="1"/>
  <c r="Q45" i="4"/>
  <c r="R45" i="4" s="1"/>
  <c r="S45" i="4" s="1"/>
  <c r="T45" i="4" s="1"/>
  <c r="U45" i="4" s="1"/>
  <c r="V45" i="4" s="1"/>
  <c r="W45" i="4" s="1"/>
  <c r="X45" i="4" s="1"/>
  <c r="Y45" i="4" s="1"/>
  <c r="Z45" i="4" s="1"/>
  <c r="AA45" i="4" s="1"/>
  <c r="AB45" i="4" s="1"/>
  <c r="AC45" i="4" s="1"/>
  <c r="AD45" i="4" s="1"/>
  <c r="K65" i="25"/>
  <c r="L65" i="25" s="1"/>
  <c r="M65" i="25" s="1"/>
  <c r="N65" i="25" s="1"/>
  <c r="O65" i="25" s="1"/>
  <c r="P65" i="25" s="1"/>
  <c r="Q65" i="25" s="1"/>
  <c r="R65" i="25" s="1"/>
  <c r="S65" i="25" s="1"/>
  <c r="T65" i="25" s="1"/>
  <c r="U65" i="25" s="1"/>
  <c r="V65" i="25" s="1"/>
  <c r="W65" i="25" s="1"/>
  <c r="X65" i="25" s="1"/>
  <c r="K89" i="25"/>
  <c r="L89" i="25" s="1"/>
  <c r="M89" i="25" s="1"/>
  <c r="N89" i="25" s="1"/>
  <c r="O89" i="25" s="1"/>
  <c r="P89" i="25" s="1"/>
  <c r="Q89" i="25" s="1"/>
  <c r="R89" i="25" s="1"/>
  <c r="S89" i="25" s="1"/>
  <c r="T89" i="25" s="1"/>
  <c r="U89" i="25" s="1"/>
  <c r="V89" i="25" s="1"/>
  <c r="W89" i="25" s="1"/>
  <c r="X89" i="25" s="1"/>
  <c r="K99" i="25"/>
  <c r="L99" i="25" s="1"/>
  <c r="M99" i="25" s="1"/>
  <c r="N99" i="25" s="1"/>
  <c r="O99" i="25" s="1"/>
  <c r="P99" i="25" s="1"/>
  <c r="Q99" i="25" s="1"/>
  <c r="R99" i="25" s="1"/>
  <c r="S99" i="25" s="1"/>
  <c r="T99" i="25" s="1"/>
  <c r="U99" i="25" s="1"/>
  <c r="V99" i="25" s="1"/>
  <c r="W99" i="25" s="1"/>
  <c r="X99" i="25" s="1"/>
  <c r="K94" i="25"/>
  <c r="L94" i="25" s="1"/>
  <c r="M94" i="25" s="1"/>
  <c r="N94" i="25" s="1"/>
  <c r="O94" i="25" s="1"/>
  <c r="P94" i="25" s="1"/>
  <c r="Q94" i="25" s="1"/>
  <c r="R94" i="25" s="1"/>
  <c r="S94" i="25" s="1"/>
  <c r="T94" i="25" s="1"/>
  <c r="U94" i="25" s="1"/>
  <c r="V94" i="25" s="1"/>
  <c r="W94" i="25" s="1"/>
  <c r="X94" i="25" s="1"/>
  <c r="K83" i="25"/>
  <c r="L83" i="25" s="1"/>
  <c r="M83" i="25" s="1"/>
  <c r="N83" i="25" s="1"/>
  <c r="O83" i="25" s="1"/>
  <c r="P83" i="25" s="1"/>
  <c r="Q83" i="25" s="1"/>
  <c r="R83" i="25" s="1"/>
  <c r="S83" i="25" s="1"/>
  <c r="T83" i="25" s="1"/>
  <c r="U83" i="25" s="1"/>
  <c r="V83" i="25" s="1"/>
  <c r="W83" i="25" s="1"/>
  <c r="X83" i="25" s="1"/>
  <c r="AD176" i="24"/>
  <c r="AC176" i="24"/>
  <c r="AB176" i="24"/>
  <c r="AA176" i="24"/>
  <c r="Z176" i="24"/>
  <c r="Y176" i="24"/>
  <c r="X176" i="24"/>
  <c r="W176" i="24"/>
  <c r="V176" i="24"/>
  <c r="U176" i="24"/>
  <c r="T176" i="24"/>
  <c r="S176" i="24"/>
  <c r="R176" i="24"/>
  <c r="Q176" i="24"/>
  <c r="P176" i="24"/>
  <c r="O176" i="24"/>
  <c r="N176" i="24"/>
  <c r="M176" i="24"/>
  <c r="L176" i="24"/>
  <c r="K176" i="24"/>
  <c r="AD175" i="24"/>
  <c r="AC175" i="24"/>
  <c r="AB175" i="24"/>
  <c r="AA175" i="24"/>
  <c r="Z175" i="24"/>
  <c r="Y175" i="24"/>
  <c r="X175" i="24"/>
  <c r="W175" i="24"/>
  <c r="V175" i="24"/>
  <c r="U175" i="24"/>
  <c r="T175" i="24"/>
  <c r="S175" i="24"/>
  <c r="R175" i="24"/>
  <c r="Q175" i="24"/>
  <c r="P175" i="24"/>
  <c r="O175" i="24"/>
  <c r="N175" i="24"/>
  <c r="M175" i="24"/>
  <c r="L175" i="24"/>
  <c r="K175" i="24"/>
  <c r="AD174" i="24"/>
  <c r="AC174" i="24"/>
  <c r="AB174" i="24"/>
  <c r="AA174" i="24"/>
  <c r="Z174" i="24"/>
  <c r="Y174" i="24"/>
  <c r="X174" i="24"/>
  <c r="W174" i="24"/>
  <c r="V174" i="24"/>
  <c r="U174" i="24"/>
  <c r="T174" i="24"/>
  <c r="S174" i="24"/>
  <c r="R174" i="24"/>
  <c r="Q174" i="24"/>
  <c r="P174" i="24"/>
  <c r="O174" i="24"/>
  <c r="N174" i="24"/>
  <c r="M174" i="24"/>
  <c r="L174" i="24"/>
  <c r="K174" i="24"/>
  <c r="AD173" i="24"/>
  <c r="AC173" i="24"/>
  <c r="AB173" i="24"/>
  <c r="AA173" i="24"/>
  <c r="Z173" i="24"/>
  <c r="Y173" i="24"/>
  <c r="X173" i="24"/>
  <c r="W173" i="24"/>
  <c r="V173" i="24"/>
  <c r="U173" i="24"/>
  <c r="T173" i="24"/>
  <c r="S173" i="24"/>
  <c r="R173" i="24"/>
  <c r="Q173" i="24"/>
  <c r="P173" i="24"/>
  <c r="O173" i="24"/>
  <c r="N173" i="24"/>
  <c r="M173" i="24"/>
  <c r="L173" i="24"/>
  <c r="K173" i="24"/>
  <c r="AD172" i="24"/>
  <c r="AC172" i="24"/>
  <c r="AB172" i="24"/>
  <c r="AA172" i="24"/>
  <c r="Z172" i="24"/>
  <c r="Y172" i="24"/>
  <c r="X172" i="24"/>
  <c r="W172" i="24"/>
  <c r="V172" i="24"/>
  <c r="U172" i="24"/>
  <c r="T172" i="24"/>
  <c r="S172" i="24"/>
  <c r="R172" i="24"/>
  <c r="Q172" i="24"/>
  <c r="P172" i="24"/>
  <c r="O172" i="24"/>
  <c r="N172" i="24"/>
  <c r="M172" i="24"/>
  <c r="L172" i="24"/>
  <c r="K172" i="24"/>
  <c r="AD171" i="24"/>
  <c r="AC171" i="24"/>
  <c r="AB171" i="24"/>
  <c r="AA171" i="24"/>
  <c r="Z171" i="24"/>
  <c r="Y171" i="24"/>
  <c r="X171" i="24"/>
  <c r="W171" i="24"/>
  <c r="V171" i="24"/>
  <c r="U171" i="24"/>
  <c r="T171" i="24"/>
  <c r="S171" i="24"/>
  <c r="R171" i="24"/>
  <c r="Q171" i="24"/>
  <c r="P171" i="24"/>
  <c r="O171" i="24"/>
  <c r="N171" i="24"/>
  <c r="M171" i="24"/>
  <c r="L171" i="24"/>
  <c r="K171" i="24"/>
  <c r="AD170" i="24"/>
  <c r="AC170" i="24"/>
  <c r="AB170" i="24"/>
  <c r="AA170" i="24"/>
  <c r="Z170" i="24"/>
  <c r="Y170" i="24"/>
  <c r="X170" i="24"/>
  <c r="W170" i="24"/>
  <c r="V170" i="24"/>
  <c r="U170" i="24"/>
  <c r="T170" i="24"/>
  <c r="S170" i="24"/>
  <c r="R170" i="24"/>
  <c r="Q170" i="24"/>
  <c r="P170" i="24"/>
  <c r="O170" i="24"/>
  <c r="N170" i="24"/>
  <c r="M170" i="24"/>
  <c r="L170" i="24"/>
  <c r="K170" i="24"/>
  <c r="AD169" i="24"/>
  <c r="AC169" i="24"/>
  <c r="AB169" i="24"/>
  <c r="AA169" i="24"/>
  <c r="Z169" i="24"/>
  <c r="Y169" i="24"/>
  <c r="X169" i="24"/>
  <c r="W169" i="24"/>
  <c r="V169" i="24"/>
  <c r="U169" i="24"/>
  <c r="T169" i="24"/>
  <c r="S169" i="24"/>
  <c r="R169" i="24"/>
  <c r="Q169" i="24"/>
  <c r="P169" i="24"/>
  <c r="O169" i="24"/>
  <c r="N169" i="24"/>
  <c r="M169" i="24"/>
  <c r="L169" i="24"/>
  <c r="K169" i="24"/>
  <c r="AD168" i="24"/>
  <c r="AC168" i="24"/>
  <c r="AB168" i="24"/>
  <c r="AA168" i="24"/>
  <c r="Z168" i="24"/>
  <c r="Y168" i="24"/>
  <c r="X168" i="24"/>
  <c r="W168" i="24"/>
  <c r="V168" i="24"/>
  <c r="U168" i="24"/>
  <c r="T168" i="24"/>
  <c r="S168" i="24"/>
  <c r="R168" i="24"/>
  <c r="Q168" i="24"/>
  <c r="P168" i="24"/>
  <c r="O168" i="24"/>
  <c r="N168" i="24"/>
  <c r="M168" i="24"/>
  <c r="L168" i="24"/>
  <c r="K168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R167" i="24"/>
  <c r="Q167" i="24"/>
  <c r="P167" i="24"/>
  <c r="O167" i="24"/>
  <c r="N167" i="24"/>
  <c r="M167" i="24"/>
  <c r="L167" i="24"/>
  <c r="K167" i="24"/>
  <c r="AD166" i="24"/>
  <c r="AC166" i="24"/>
  <c r="AB166" i="24"/>
  <c r="AA166" i="24"/>
  <c r="Z166" i="24"/>
  <c r="Y166" i="24"/>
  <c r="X166" i="24"/>
  <c r="W166" i="24"/>
  <c r="V166" i="24"/>
  <c r="U166" i="24"/>
  <c r="T166" i="24"/>
  <c r="S166" i="24"/>
  <c r="R166" i="24"/>
  <c r="Q166" i="24"/>
  <c r="P166" i="24"/>
  <c r="O166" i="24"/>
  <c r="N166" i="24"/>
  <c r="M166" i="24"/>
  <c r="L166" i="24"/>
  <c r="K166" i="24"/>
  <c r="AD165" i="24"/>
  <c r="AC165" i="24"/>
  <c r="AB165" i="24"/>
  <c r="AA165" i="24"/>
  <c r="Z165" i="24"/>
  <c r="Y165" i="24"/>
  <c r="X165" i="24"/>
  <c r="W165" i="24"/>
  <c r="V165" i="24"/>
  <c r="U165" i="24"/>
  <c r="T165" i="24"/>
  <c r="S165" i="24"/>
  <c r="R165" i="24"/>
  <c r="Q165" i="24"/>
  <c r="P165" i="24"/>
  <c r="O165" i="24"/>
  <c r="N165" i="24"/>
  <c r="M165" i="24"/>
  <c r="L165" i="24"/>
  <c r="K165" i="24"/>
  <c r="R164" i="24"/>
  <c r="Q164" i="24"/>
  <c r="P164" i="24"/>
  <c r="O164" i="24"/>
  <c r="N164" i="24"/>
  <c r="M164" i="24"/>
  <c r="L164" i="24"/>
  <c r="K164" i="24"/>
  <c r="P163" i="24"/>
  <c r="O163" i="24"/>
  <c r="N163" i="24"/>
  <c r="M163" i="24"/>
  <c r="L163" i="24"/>
  <c r="K163" i="24"/>
  <c r="P162" i="24"/>
  <c r="O162" i="24"/>
  <c r="N162" i="24"/>
  <c r="M162" i="24"/>
  <c r="L162" i="24"/>
  <c r="K162" i="24"/>
  <c r="P161" i="24"/>
  <c r="O161" i="24"/>
  <c r="N161" i="24"/>
  <c r="M161" i="24"/>
  <c r="L161" i="24"/>
  <c r="K161" i="24"/>
  <c r="P160" i="24"/>
  <c r="O160" i="24"/>
  <c r="N160" i="24"/>
  <c r="M160" i="24"/>
  <c r="L160" i="24"/>
  <c r="K160" i="24"/>
  <c r="Q151" i="24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D156" i="23"/>
  <c r="AC156" i="23"/>
  <c r="AB156" i="23"/>
  <c r="AA156" i="23"/>
  <c r="Z156" i="23"/>
  <c r="Y156" i="23"/>
  <c r="X156" i="23"/>
  <c r="Q151" i="23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Q152" i="4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K75" i="25"/>
  <c r="L75" i="25" s="1"/>
  <c r="M75" i="25" s="1"/>
  <c r="N75" i="25" s="1"/>
  <c r="O75" i="25" s="1"/>
  <c r="P75" i="25" s="1"/>
  <c r="Q75" i="25" s="1"/>
  <c r="R75" i="25" s="1"/>
  <c r="S75" i="25" s="1"/>
  <c r="T75" i="25" s="1"/>
  <c r="U75" i="25" s="1"/>
  <c r="V75" i="25" s="1"/>
  <c r="W75" i="25" s="1"/>
  <c r="X75" i="25" s="1"/>
  <c r="AD103" i="23"/>
  <c r="AC103" i="23"/>
  <c r="AB103" i="23"/>
  <c r="AA103" i="23"/>
  <c r="Z103" i="23"/>
  <c r="Y103" i="23"/>
  <c r="X103" i="23"/>
  <c r="F103" i="23"/>
  <c r="F156" i="23" s="1"/>
  <c r="E103" i="23"/>
  <c r="D103" i="23"/>
  <c r="C103" i="23"/>
  <c r="C156" i="23" s="1"/>
  <c r="Q101" i="23"/>
  <c r="R101" i="23" s="1"/>
  <c r="S101" i="23" s="1"/>
  <c r="T101" i="23" s="1"/>
  <c r="U101" i="23" s="1"/>
  <c r="V101" i="23" s="1"/>
  <c r="W101" i="23" s="1"/>
  <c r="X101" i="23" s="1"/>
  <c r="Y101" i="23" s="1"/>
  <c r="Z101" i="23" s="1"/>
  <c r="AA101" i="23" s="1"/>
  <c r="AB101" i="23" s="1"/>
  <c r="AC101" i="23" s="1"/>
  <c r="AD101" i="23" s="1"/>
  <c r="AD123" i="24"/>
  <c r="AC123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E123" i="24"/>
  <c r="D123" i="24"/>
  <c r="C123" i="24"/>
  <c r="C176" i="24" s="1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E122" i="24"/>
  <c r="D122" i="24"/>
  <c r="C122" i="24"/>
  <c r="C175" i="24" s="1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E121" i="24"/>
  <c r="D121" i="24"/>
  <c r="C121" i="24"/>
  <c r="C174" i="24" s="1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E120" i="24"/>
  <c r="D120" i="24"/>
  <c r="C120" i="24"/>
  <c r="C173" i="24" s="1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E119" i="24"/>
  <c r="D119" i="24"/>
  <c r="C119" i="24"/>
  <c r="C172" i="24" s="1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E118" i="24"/>
  <c r="D118" i="24"/>
  <c r="C118" i="24"/>
  <c r="C171" i="24" s="1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E117" i="24"/>
  <c r="D117" i="24"/>
  <c r="C117" i="24"/>
  <c r="C170" i="24" s="1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E116" i="24"/>
  <c r="D116" i="24"/>
  <c r="C116" i="24"/>
  <c r="C169" i="24" s="1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E115" i="24"/>
  <c r="D115" i="24"/>
  <c r="C115" i="24"/>
  <c r="C168" i="24" s="1"/>
  <c r="AD114" i="24"/>
  <c r="AC114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E114" i="24"/>
  <c r="D114" i="24"/>
  <c r="C114" i="24"/>
  <c r="C167" i="24" s="1"/>
  <c r="AD113" i="24"/>
  <c r="AC113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E113" i="24"/>
  <c r="D113" i="24"/>
  <c r="C113" i="24"/>
  <c r="C166" i="24" s="1"/>
  <c r="AD112" i="24"/>
  <c r="AC112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E112" i="24"/>
  <c r="D112" i="24"/>
  <c r="C112" i="24"/>
  <c r="C165" i="24" s="1"/>
  <c r="Q111" i="24"/>
  <c r="P111" i="24"/>
  <c r="O111" i="24"/>
  <c r="N111" i="24"/>
  <c r="M111" i="24"/>
  <c r="L111" i="24"/>
  <c r="K111" i="24"/>
  <c r="E111" i="24"/>
  <c r="D111" i="24"/>
  <c r="C111" i="24"/>
  <c r="C164" i="24" s="1"/>
  <c r="O110" i="24"/>
  <c r="N110" i="24"/>
  <c r="M110" i="24"/>
  <c r="L110" i="24"/>
  <c r="K110" i="24"/>
  <c r="E110" i="24"/>
  <c r="D110" i="24"/>
  <c r="C110" i="24"/>
  <c r="C163" i="24" s="1"/>
  <c r="O109" i="24"/>
  <c r="N109" i="24"/>
  <c r="M109" i="24"/>
  <c r="L109" i="24"/>
  <c r="K109" i="24"/>
  <c r="E109" i="24"/>
  <c r="D109" i="24"/>
  <c r="C109" i="24"/>
  <c r="C162" i="24" s="1"/>
  <c r="O108" i="24"/>
  <c r="N108" i="24"/>
  <c r="M108" i="24"/>
  <c r="L108" i="24"/>
  <c r="K108" i="24"/>
  <c r="E108" i="24"/>
  <c r="D108" i="24"/>
  <c r="C108" i="24"/>
  <c r="C161" i="24" s="1"/>
  <c r="O107" i="24"/>
  <c r="N107" i="24"/>
  <c r="M107" i="24"/>
  <c r="L107" i="24"/>
  <c r="K107" i="24"/>
  <c r="E107" i="24"/>
  <c r="D107" i="24"/>
  <c r="C107" i="24"/>
  <c r="C160" i="24" s="1"/>
  <c r="E106" i="24"/>
  <c r="D106" i="24"/>
  <c r="C106" i="24"/>
  <c r="C159" i="24" s="1"/>
  <c r="E105" i="24"/>
  <c r="D105" i="24"/>
  <c r="C105" i="24"/>
  <c r="C158" i="24" s="1"/>
  <c r="E104" i="24"/>
  <c r="D104" i="24"/>
  <c r="C104" i="24"/>
  <c r="C157" i="24" s="1"/>
  <c r="E103" i="24"/>
  <c r="D103" i="24"/>
  <c r="C103" i="24"/>
  <c r="C156" i="24" s="1"/>
  <c r="Q101" i="24"/>
  <c r="R101" i="24" s="1"/>
  <c r="S101" i="24" s="1"/>
  <c r="T101" i="24" s="1"/>
  <c r="U101" i="24" s="1"/>
  <c r="V101" i="24" s="1"/>
  <c r="W101" i="24" s="1"/>
  <c r="X101" i="24" s="1"/>
  <c r="Y101" i="24" s="1"/>
  <c r="Z101" i="24" s="1"/>
  <c r="AA101" i="24" s="1"/>
  <c r="AB101" i="24" s="1"/>
  <c r="AC101" i="24" s="1"/>
  <c r="AD101" i="24" s="1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AD122" i="4"/>
  <c r="AC122" i="4"/>
  <c r="O122" i="4"/>
  <c r="N122" i="4"/>
  <c r="M122" i="4"/>
  <c r="L122" i="4"/>
  <c r="K122" i="4"/>
  <c r="AD121" i="4"/>
  <c r="AC121" i="4"/>
  <c r="O121" i="4"/>
  <c r="N121" i="4"/>
  <c r="M121" i="4"/>
  <c r="L121" i="4"/>
  <c r="K121" i="4"/>
  <c r="AD120" i="4"/>
  <c r="AC120" i="4"/>
  <c r="O120" i="4"/>
  <c r="N120" i="4"/>
  <c r="M120" i="4"/>
  <c r="L120" i="4"/>
  <c r="K120" i="4"/>
  <c r="O119" i="4"/>
  <c r="N119" i="4"/>
  <c r="M119" i="4"/>
  <c r="L119" i="4"/>
  <c r="K119" i="4"/>
  <c r="O118" i="4"/>
  <c r="N118" i="4"/>
  <c r="M118" i="4"/>
  <c r="L118" i="4"/>
  <c r="K118" i="4"/>
  <c r="AD117" i="4"/>
  <c r="AC117" i="4"/>
  <c r="O117" i="4"/>
  <c r="N117" i="4"/>
  <c r="M117" i="4"/>
  <c r="L117" i="4"/>
  <c r="K117" i="4"/>
  <c r="O116" i="4"/>
  <c r="N116" i="4"/>
  <c r="M116" i="4"/>
  <c r="L116" i="4"/>
  <c r="K116" i="4"/>
  <c r="O115" i="4"/>
  <c r="N115" i="4"/>
  <c r="M115" i="4"/>
  <c r="L115" i="4"/>
  <c r="K115" i="4"/>
  <c r="L113" i="4"/>
  <c r="K113" i="4"/>
  <c r="L112" i="4"/>
  <c r="K112" i="4"/>
  <c r="AD111" i="4"/>
  <c r="AC111" i="4"/>
  <c r="L111" i="4"/>
  <c r="K111" i="4"/>
  <c r="AD110" i="4"/>
  <c r="AC110" i="4"/>
  <c r="L110" i="4"/>
  <c r="K110" i="4"/>
  <c r="AD109" i="4"/>
  <c r="AC109" i="4"/>
  <c r="L109" i="4"/>
  <c r="K109" i="4"/>
  <c r="AD108" i="4"/>
  <c r="AC108" i="4"/>
  <c r="AB108" i="4"/>
  <c r="AA108" i="4"/>
  <c r="Z108" i="4"/>
  <c r="Y108" i="4"/>
  <c r="X108" i="4"/>
  <c r="AD107" i="4"/>
  <c r="AC107" i="4"/>
  <c r="AB107" i="4"/>
  <c r="AA107" i="4"/>
  <c r="Z107" i="4"/>
  <c r="Y107" i="4"/>
  <c r="X107" i="4"/>
  <c r="AD106" i="4"/>
  <c r="AC106" i="4"/>
  <c r="AB106" i="4"/>
  <c r="AA106" i="4"/>
  <c r="Z106" i="4"/>
  <c r="Y106" i="4"/>
  <c r="X106" i="4"/>
  <c r="AD105" i="4"/>
  <c r="AC105" i="4"/>
  <c r="AB105" i="4"/>
  <c r="AA105" i="4"/>
  <c r="Z105" i="4"/>
  <c r="Y105" i="4"/>
  <c r="X105" i="4"/>
  <c r="AD104" i="4"/>
  <c r="AC104" i="4"/>
  <c r="AB104" i="4"/>
  <c r="AA104" i="4"/>
  <c r="Z104" i="4"/>
  <c r="Y104" i="4"/>
  <c r="Q102" i="4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E124" i="4"/>
  <c r="D124" i="4"/>
  <c r="C124" i="4"/>
  <c r="C177" i="4" s="1"/>
  <c r="E123" i="4"/>
  <c r="D123" i="4"/>
  <c r="C123" i="4"/>
  <c r="C176" i="4" s="1"/>
  <c r="E122" i="4"/>
  <c r="D122" i="4"/>
  <c r="C122" i="4"/>
  <c r="C175" i="4" s="1"/>
  <c r="E121" i="4"/>
  <c r="D121" i="4"/>
  <c r="C121" i="4"/>
  <c r="C174" i="4" s="1"/>
  <c r="E120" i="4"/>
  <c r="D120" i="4"/>
  <c r="C120" i="4"/>
  <c r="C173" i="4" s="1"/>
  <c r="E119" i="4"/>
  <c r="D119" i="4"/>
  <c r="C119" i="4"/>
  <c r="C172" i="4" s="1"/>
  <c r="E118" i="4"/>
  <c r="C118" i="4"/>
  <c r="C171" i="4" s="1"/>
  <c r="E117" i="4"/>
  <c r="D117" i="4"/>
  <c r="C117" i="4"/>
  <c r="C170" i="4" s="1"/>
  <c r="E116" i="4"/>
  <c r="D116" i="4"/>
  <c r="C116" i="4"/>
  <c r="C169" i="4" s="1"/>
  <c r="E115" i="4"/>
  <c r="D115" i="4"/>
  <c r="C115" i="4"/>
  <c r="C168" i="4" s="1"/>
  <c r="E113" i="4"/>
  <c r="D113" i="4"/>
  <c r="C113" i="4"/>
  <c r="C166" i="4" s="1"/>
  <c r="E112" i="4"/>
  <c r="D112" i="4"/>
  <c r="C112" i="4"/>
  <c r="C165" i="4" s="1"/>
  <c r="E111" i="4"/>
  <c r="D111" i="4"/>
  <c r="C111" i="4"/>
  <c r="C164" i="4" s="1"/>
  <c r="E110" i="4"/>
  <c r="D110" i="4"/>
  <c r="C110" i="4"/>
  <c r="C163" i="4" s="1"/>
  <c r="E109" i="4"/>
  <c r="D109" i="4"/>
  <c r="C109" i="4"/>
  <c r="C162" i="4" s="1"/>
  <c r="E108" i="4"/>
  <c r="D108" i="4"/>
  <c r="C108" i="4"/>
  <c r="C161" i="4" s="1"/>
  <c r="E107" i="4"/>
  <c r="D107" i="4"/>
  <c r="C107" i="4"/>
  <c r="C160" i="4" s="1"/>
  <c r="E106" i="4"/>
  <c r="D106" i="4"/>
  <c r="C106" i="4"/>
  <c r="C159" i="4" s="1"/>
  <c r="E105" i="4"/>
  <c r="D105" i="4"/>
  <c r="C105" i="4"/>
  <c r="C158" i="4" s="1"/>
  <c r="E104" i="4"/>
  <c r="D104" i="4"/>
  <c r="C104" i="4"/>
  <c r="C157" i="4" s="1"/>
  <c r="S16" i="14"/>
  <c r="S56" i="14" s="1"/>
  <c r="S57" i="14" s="1"/>
  <c r="S15" i="14"/>
  <c r="S54" i="14" s="1"/>
  <c r="S55" i="14" s="1"/>
  <c r="S14" i="14"/>
  <c r="S52" i="14" s="1"/>
  <c r="S53" i="14" s="1"/>
  <c r="S13" i="14"/>
  <c r="S50" i="14" s="1"/>
  <c r="S51" i="14" s="1"/>
  <c r="S12" i="14"/>
  <c r="S48" i="14" s="1"/>
  <c r="S49" i="14" s="1"/>
  <c r="S11" i="14"/>
  <c r="S46" i="14" s="1"/>
  <c r="S47" i="14" s="1"/>
  <c r="S10" i="14"/>
  <c r="S44" i="14" s="1"/>
  <c r="S45" i="14" s="1"/>
  <c r="S9" i="14"/>
  <c r="S42" i="14" s="1"/>
  <c r="S43" i="14" s="1"/>
  <c r="S8" i="14"/>
  <c r="S40" i="14" s="1"/>
  <c r="S41" i="14" s="1"/>
  <c r="S7" i="14"/>
  <c r="S38" i="14" s="1"/>
  <c r="S39" i="14" s="1"/>
  <c r="S6" i="14"/>
  <c r="S36" i="14" s="1"/>
  <c r="S37" i="14" s="1"/>
  <c r="S5" i="14"/>
  <c r="S34" i="14" s="1"/>
  <c r="S35" i="14" s="1"/>
  <c r="K49" i="25"/>
  <c r="L49" i="25" s="1"/>
  <c r="M49" i="25" s="1"/>
  <c r="N49" i="25" s="1"/>
  <c r="F55" i="24"/>
  <c r="F54" i="24"/>
  <c r="F53" i="24"/>
  <c r="F105" i="24" s="1"/>
  <c r="F158" i="24" s="1"/>
  <c r="F52" i="24"/>
  <c r="F104" i="24" s="1"/>
  <c r="F157" i="24" s="1"/>
  <c r="F62" i="24"/>
  <c r="J62" i="24" s="1"/>
  <c r="J114" i="24" s="1"/>
  <c r="F61" i="24"/>
  <c r="F60" i="24"/>
  <c r="F59" i="24"/>
  <c r="F58" i="24"/>
  <c r="G58" i="24" s="1"/>
  <c r="G110" i="24" s="1"/>
  <c r="F57" i="24"/>
  <c r="F56" i="24"/>
  <c r="F52" i="23"/>
  <c r="F104" i="23" s="1"/>
  <c r="F157" i="23" s="1"/>
  <c r="R6" i="18" l="1"/>
  <c r="S15" i="18"/>
  <c r="S16" i="18" s="1"/>
  <c r="G66" i="4"/>
  <c r="G53" i="23"/>
  <c r="AL13" i="18"/>
  <c r="G51" i="4"/>
  <c r="F128" i="4"/>
  <c r="G76" i="4"/>
  <c r="H76" i="4"/>
  <c r="H128" i="4" s="1"/>
  <c r="I76" i="4"/>
  <c r="I128" i="4" s="1"/>
  <c r="T15" i="18"/>
  <c r="T14" i="18"/>
  <c r="F68" i="25" s="1"/>
  <c r="S14" i="18"/>
  <c r="E68" i="25" s="1"/>
  <c r="S12" i="18"/>
  <c r="F114" i="24"/>
  <c r="F167" i="24" s="1"/>
  <c r="U11" i="18"/>
  <c r="U12" i="18" s="1"/>
  <c r="F111" i="24"/>
  <c r="F164" i="24" s="1"/>
  <c r="F108" i="24"/>
  <c r="F161" i="24" s="1"/>
  <c r="G61" i="24"/>
  <c r="G113" i="24" s="1"/>
  <c r="F113" i="24"/>
  <c r="F166" i="24" s="1"/>
  <c r="F110" i="24"/>
  <c r="F163" i="24" s="1"/>
  <c r="J60" i="24"/>
  <c r="J112" i="24" s="1"/>
  <c r="F112" i="24"/>
  <c r="F165" i="24" s="1"/>
  <c r="G54" i="24"/>
  <c r="G106" i="24" s="1"/>
  <c r="F106" i="24"/>
  <c r="F159" i="24" s="1"/>
  <c r="F107" i="24"/>
  <c r="F160" i="24" s="1"/>
  <c r="F109" i="24"/>
  <c r="F162" i="24" s="1"/>
  <c r="H61" i="24"/>
  <c r="H113" i="24" s="1"/>
  <c r="G56" i="24"/>
  <c r="G108" i="24" s="1"/>
  <c r="I61" i="24"/>
  <c r="I113" i="24" s="1"/>
  <c r="J61" i="24"/>
  <c r="J113" i="24" s="1"/>
  <c r="O49" i="25"/>
  <c r="P49" i="25" s="1"/>
  <c r="Q49" i="25" s="1"/>
  <c r="R49" i="25" s="1"/>
  <c r="S49" i="25" s="1"/>
  <c r="T49" i="25" s="1"/>
  <c r="U49" i="25" s="1"/>
  <c r="V49" i="25" s="1"/>
  <c r="W49" i="25" s="1"/>
  <c r="X49" i="25" s="1"/>
  <c r="G53" i="24"/>
  <c r="G55" i="24"/>
  <c r="G107" i="24" s="1"/>
  <c r="G52" i="24"/>
  <c r="G57" i="24"/>
  <c r="G109" i="24" s="1"/>
  <c r="H60" i="24"/>
  <c r="H112" i="24" s="1"/>
  <c r="I60" i="24"/>
  <c r="I112" i="24" s="1"/>
  <c r="G62" i="24"/>
  <c r="G114" i="24" s="1"/>
  <c r="G60" i="24"/>
  <c r="G112" i="24" s="1"/>
  <c r="G59" i="24"/>
  <c r="G111" i="24" s="1"/>
  <c r="H62" i="24"/>
  <c r="H114" i="24" s="1"/>
  <c r="I62" i="24"/>
  <c r="I114" i="24" s="1"/>
  <c r="G52" i="23"/>
  <c r="G104" i="23" s="1"/>
  <c r="G128" i="4" l="1"/>
  <c r="J76" i="4"/>
  <c r="J128" i="4" s="1"/>
  <c r="G105" i="23"/>
  <c r="T16" i="18"/>
  <c r="U15" i="18"/>
  <c r="U14" i="18"/>
  <c r="G68" i="25" s="1"/>
  <c r="V11" i="18"/>
  <c r="G105" i="24"/>
  <c r="G104" i="24"/>
  <c r="V12" i="18" l="1"/>
  <c r="W11" i="18"/>
  <c r="U16" i="18"/>
  <c r="V15" i="18"/>
  <c r="V14" i="18"/>
  <c r="H68" i="25" s="1"/>
  <c r="W12" i="18"/>
  <c r="F74" i="24"/>
  <c r="J74" i="24" s="1"/>
  <c r="F73" i="24"/>
  <c r="G73" i="24" s="1"/>
  <c r="F72" i="24"/>
  <c r="I72" i="24" s="1"/>
  <c r="F71" i="24"/>
  <c r="F70" i="24"/>
  <c r="F69" i="24"/>
  <c r="F68" i="24"/>
  <c r="F67" i="24"/>
  <c r="F66" i="24"/>
  <c r="F65" i="24"/>
  <c r="F64" i="24"/>
  <c r="F63" i="24"/>
  <c r="F51" i="24"/>
  <c r="R47" i="24"/>
  <c r="S47" i="24" s="1"/>
  <c r="T47" i="24" s="1"/>
  <c r="Q47" i="24"/>
  <c r="F74" i="23"/>
  <c r="J74" i="23" s="1"/>
  <c r="F73" i="23"/>
  <c r="G73" i="23" s="1"/>
  <c r="F72" i="23"/>
  <c r="F71" i="23"/>
  <c r="F123" i="23" s="1"/>
  <c r="F176" i="23" s="1"/>
  <c r="F70" i="23"/>
  <c r="F122" i="23" s="1"/>
  <c r="F175" i="23" s="1"/>
  <c r="F69" i="23"/>
  <c r="F121" i="23" s="1"/>
  <c r="F174" i="23" s="1"/>
  <c r="F68" i="23"/>
  <c r="F120" i="23" s="1"/>
  <c r="F173" i="23" s="1"/>
  <c r="F67" i="23"/>
  <c r="F119" i="23" s="1"/>
  <c r="F172" i="23" s="1"/>
  <c r="F66" i="23"/>
  <c r="F118" i="23" s="1"/>
  <c r="F171" i="23" s="1"/>
  <c r="F65" i="23"/>
  <c r="F117" i="23" s="1"/>
  <c r="F170" i="23" s="1"/>
  <c r="F64" i="23"/>
  <c r="F116" i="23" s="1"/>
  <c r="F169" i="23" s="1"/>
  <c r="F63" i="23"/>
  <c r="F115" i="23" s="1"/>
  <c r="F168" i="23" s="1"/>
  <c r="F62" i="23"/>
  <c r="F114" i="23" s="1"/>
  <c r="F167" i="23" s="1"/>
  <c r="F61" i="23"/>
  <c r="F113" i="23" s="1"/>
  <c r="F166" i="23" s="1"/>
  <c r="F60" i="23"/>
  <c r="F112" i="23" s="1"/>
  <c r="F165" i="23" s="1"/>
  <c r="F59" i="23"/>
  <c r="F111" i="23" s="1"/>
  <c r="F164" i="23" s="1"/>
  <c r="F58" i="23"/>
  <c r="F110" i="23" s="1"/>
  <c r="F163" i="23" s="1"/>
  <c r="F57" i="23"/>
  <c r="F109" i="23" s="1"/>
  <c r="F162" i="23" s="1"/>
  <c r="F56" i="23"/>
  <c r="F108" i="23" s="1"/>
  <c r="F161" i="23" s="1"/>
  <c r="F55" i="23"/>
  <c r="F107" i="23" s="1"/>
  <c r="F160" i="23" s="1"/>
  <c r="F54" i="23"/>
  <c r="F106" i="23" s="1"/>
  <c r="F159" i="23" s="1"/>
  <c r="G51" i="23"/>
  <c r="Q47" i="23"/>
  <c r="R47" i="23" s="1"/>
  <c r="S47" i="23" s="1"/>
  <c r="T47" i="23" s="1"/>
  <c r="F75" i="4"/>
  <c r="F74" i="4"/>
  <c r="F73" i="4"/>
  <c r="F72" i="4"/>
  <c r="F71" i="4"/>
  <c r="F70" i="4"/>
  <c r="F69" i="4"/>
  <c r="F67" i="4"/>
  <c r="F118" i="4"/>
  <c r="F171" i="4" s="1"/>
  <c r="F65" i="4"/>
  <c r="F64" i="4"/>
  <c r="F63" i="4"/>
  <c r="F114" i="4" s="1"/>
  <c r="F167" i="4" s="1"/>
  <c r="F62" i="4"/>
  <c r="F113" i="4" s="1"/>
  <c r="F166" i="4" s="1"/>
  <c r="F61" i="4"/>
  <c r="F112" i="4" s="1"/>
  <c r="F165" i="4" s="1"/>
  <c r="F60" i="4"/>
  <c r="F111" i="4" s="1"/>
  <c r="F164" i="4" s="1"/>
  <c r="F59" i="4"/>
  <c r="F110" i="4" s="1"/>
  <c r="F163" i="4" s="1"/>
  <c r="F58" i="4"/>
  <c r="F56" i="4"/>
  <c r="F108" i="4" s="1"/>
  <c r="F161" i="4" s="1"/>
  <c r="F55" i="4"/>
  <c r="F107" i="4" s="1"/>
  <c r="F160" i="4" s="1"/>
  <c r="F54" i="4"/>
  <c r="F53" i="4"/>
  <c r="F105" i="4" s="1"/>
  <c r="F158" i="4" s="1"/>
  <c r="F52" i="4"/>
  <c r="F68" i="4"/>
  <c r="J30" i="18"/>
  <c r="H52" i="24" s="1"/>
  <c r="J28" i="18"/>
  <c r="J27" i="18"/>
  <c r="J26" i="18"/>
  <c r="H52" i="23" s="1"/>
  <c r="H104" i="23" s="1"/>
  <c r="J25" i="18"/>
  <c r="J24" i="18"/>
  <c r="J23" i="18"/>
  <c r="H66" i="4" s="1"/>
  <c r="J22" i="18"/>
  <c r="J21" i="18"/>
  <c r="J20" i="18"/>
  <c r="H57" i="4" s="1"/>
  <c r="P80" i="14"/>
  <c r="P81" i="14" s="1"/>
  <c r="O80" i="14"/>
  <c r="O81" i="14" s="1"/>
  <c r="N80" i="14"/>
  <c r="N81" i="14" s="1"/>
  <c r="M80" i="14"/>
  <c r="P78" i="14"/>
  <c r="P79" i="14" s="1"/>
  <c r="O78" i="14"/>
  <c r="O79" i="14" s="1"/>
  <c r="N78" i="14"/>
  <c r="N79" i="14" s="1"/>
  <c r="M78" i="14"/>
  <c r="P76" i="14"/>
  <c r="P77" i="14" s="1"/>
  <c r="O76" i="14"/>
  <c r="O77" i="14" s="1"/>
  <c r="N76" i="14"/>
  <c r="N77" i="14" s="1"/>
  <c r="M76" i="14"/>
  <c r="P74" i="14"/>
  <c r="P75" i="14" s="1"/>
  <c r="O74" i="14"/>
  <c r="O75" i="14" s="1"/>
  <c r="N74" i="14"/>
  <c r="N75" i="14" s="1"/>
  <c r="M74" i="14"/>
  <c r="P72" i="14"/>
  <c r="P73" i="14" s="1"/>
  <c r="O72" i="14"/>
  <c r="O73" i="14" s="1"/>
  <c r="N72" i="14"/>
  <c r="N73" i="14" s="1"/>
  <c r="M72" i="14"/>
  <c r="P70" i="14"/>
  <c r="P71" i="14" s="1"/>
  <c r="O70" i="14"/>
  <c r="O71" i="14" s="1"/>
  <c r="N70" i="14"/>
  <c r="N71" i="14" s="1"/>
  <c r="M70" i="14"/>
  <c r="P68" i="14"/>
  <c r="P69" i="14" s="1"/>
  <c r="O68" i="14"/>
  <c r="O69" i="14" s="1"/>
  <c r="N68" i="14"/>
  <c r="N69" i="14" s="1"/>
  <c r="M68" i="14"/>
  <c r="P66" i="14"/>
  <c r="P67" i="14" s="1"/>
  <c r="O66" i="14"/>
  <c r="O67" i="14" s="1"/>
  <c r="N66" i="14"/>
  <c r="N67" i="14" s="1"/>
  <c r="M66" i="14"/>
  <c r="P64" i="14"/>
  <c r="P65" i="14" s="1"/>
  <c r="O64" i="14"/>
  <c r="O65" i="14" s="1"/>
  <c r="N64" i="14"/>
  <c r="N65" i="14" s="1"/>
  <c r="M64" i="14"/>
  <c r="P62" i="14"/>
  <c r="P63" i="14" s="1"/>
  <c r="O62" i="14"/>
  <c r="O63" i="14" s="1"/>
  <c r="N62" i="14"/>
  <c r="N63" i="14" s="1"/>
  <c r="M62" i="14"/>
  <c r="P60" i="14"/>
  <c r="P61" i="14" s="1"/>
  <c r="O60" i="14"/>
  <c r="O61" i="14" s="1"/>
  <c r="N60" i="14"/>
  <c r="N61" i="14" s="1"/>
  <c r="M60" i="14"/>
  <c r="P58" i="14"/>
  <c r="P59" i="14" s="1"/>
  <c r="O58" i="14"/>
  <c r="O59" i="14" s="1"/>
  <c r="N58" i="14"/>
  <c r="N59" i="14" s="1"/>
  <c r="M58" i="14"/>
  <c r="Q56" i="14"/>
  <c r="Q57" i="14" s="1"/>
  <c r="P56" i="14"/>
  <c r="P57" i="14" s="1"/>
  <c r="O56" i="14"/>
  <c r="O57" i="14" s="1"/>
  <c r="N56" i="14"/>
  <c r="N57" i="14" s="1"/>
  <c r="M56" i="14"/>
  <c r="Q54" i="14"/>
  <c r="Q55" i="14" s="1"/>
  <c r="P54" i="14"/>
  <c r="P55" i="14" s="1"/>
  <c r="O54" i="14"/>
  <c r="O55" i="14" s="1"/>
  <c r="N54" i="14"/>
  <c r="N55" i="14" s="1"/>
  <c r="M54" i="14"/>
  <c r="Q52" i="14"/>
  <c r="Q53" i="14" s="1"/>
  <c r="P52" i="14"/>
  <c r="P53" i="14" s="1"/>
  <c r="O52" i="14"/>
  <c r="O53" i="14" s="1"/>
  <c r="N52" i="14"/>
  <c r="N53" i="14" s="1"/>
  <c r="M52" i="14"/>
  <c r="Q50" i="14"/>
  <c r="Q51" i="14" s="1"/>
  <c r="P50" i="14"/>
  <c r="P51" i="14" s="1"/>
  <c r="O50" i="14"/>
  <c r="O51" i="14" s="1"/>
  <c r="N50" i="14"/>
  <c r="N51" i="14" s="1"/>
  <c r="M50" i="14"/>
  <c r="Q48" i="14"/>
  <c r="Q49" i="14" s="1"/>
  <c r="P48" i="14"/>
  <c r="P49" i="14" s="1"/>
  <c r="O48" i="14"/>
  <c r="O49" i="14" s="1"/>
  <c r="N48" i="14"/>
  <c r="N49" i="14" s="1"/>
  <c r="M48" i="14"/>
  <c r="Q46" i="14"/>
  <c r="Q47" i="14" s="1"/>
  <c r="P46" i="14"/>
  <c r="P47" i="14" s="1"/>
  <c r="O46" i="14"/>
  <c r="O47" i="14" s="1"/>
  <c r="N46" i="14"/>
  <c r="N47" i="14" s="1"/>
  <c r="M46" i="14"/>
  <c r="Q44" i="14"/>
  <c r="Q45" i="14" s="1"/>
  <c r="P44" i="14"/>
  <c r="P45" i="14" s="1"/>
  <c r="O44" i="14"/>
  <c r="O45" i="14" s="1"/>
  <c r="N44" i="14"/>
  <c r="N45" i="14" s="1"/>
  <c r="M44" i="14"/>
  <c r="Q42" i="14"/>
  <c r="Q43" i="14" s="1"/>
  <c r="P42" i="14"/>
  <c r="P43" i="14" s="1"/>
  <c r="O42" i="14"/>
  <c r="O43" i="14" s="1"/>
  <c r="N42" i="14"/>
  <c r="N43" i="14" s="1"/>
  <c r="M42" i="14"/>
  <c r="Q40" i="14"/>
  <c r="Q41" i="14" s="1"/>
  <c r="P40" i="14"/>
  <c r="P41" i="14" s="1"/>
  <c r="O40" i="14"/>
  <c r="O41" i="14" s="1"/>
  <c r="N40" i="14"/>
  <c r="N41" i="14" s="1"/>
  <c r="M40" i="14"/>
  <c r="Q38" i="14"/>
  <c r="Q39" i="14" s="1"/>
  <c r="P38" i="14"/>
  <c r="P39" i="14" s="1"/>
  <c r="O38" i="14"/>
  <c r="O39" i="14" s="1"/>
  <c r="N38" i="14"/>
  <c r="N39" i="14" s="1"/>
  <c r="M38" i="14"/>
  <c r="Q36" i="14"/>
  <c r="Q37" i="14" s="1"/>
  <c r="P36" i="14"/>
  <c r="P37" i="14" s="1"/>
  <c r="O36" i="14"/>
  <c r="O37" i="14" s="1"/>
  <c r="N36" i="14"/>
  <c r="N37" i="14" s="1"/>
  <c r="M36" i="14"/>
  <c r="Q34" i="14"/>
  <c r="Q35" i="14" s="1"/>
  <c r="P34" i="14"/>
  <c r="P35" i="14" s="1"/>
  <c r="O34" i="14"/>
  <c r="O35" i="14" s="1"/>
  <c r="N34" i="14"/>
  <c r="N35" i="14" s="1"/>
  <c r="M30" i="18"/>
  <c r="J52" i="24" s="1"/>
  <c r="J104" i="24" s="1"/>
  <c r="K30" i="18"/>
  <c r="I52" i="24" s="1"/>
  <c r="I104" i="24" s="1"/>
  <c r="AD57" i="4" l="1"/>
  <c r="V57" i="4"/>
  <c r="N57" i="4"/>
  <c r="S57" i="4"/>
  <c r="R57" i="4"/>
  <c r="Q57" i="4"/>
  <c r="X57" i="4"/>
  <c r="W57" i="4"/>
  <c r="AC57" i="4"/>
  <c r="U57" i="4"/>
  <c r="M57" i="4"/>
  <c r="K57" i="4"/>
  <c r="Z57" i="4"/>
  <c r="Y57" i="4"/>
  <c r="AB57" i="4"/>
  <c r="T57" i="4"/>
  <c r="L57" i="4"/>
  <c r="AA57" i="4"/>
  <c r="P57" i="4"/>
  <c r="O57" i="4"/>
  <c r="AD66" i="4"/>
  <c r="W66" i="4"/>
  <c r="V66" i="4"/>
  <c r="U66" i="4"/>
  <c r="T66" i="4"/>
  <c r="AC66" i="4"/>
  <c r="Y66" i="4"/>
  <c r="R66" i="4"/>
  <c r="AB66" i="4"/>
  <c r="X66" i="4"/>
  <c r="AA66" i="4"/>
  <c r="Z66" i="4"/>
  <c r="S66" i="4"/>
  <c r="H56" i="24"/>
  <c r="Z56" i="24" s="1"/>
  <c r="H51" i="4"/>
  <c r="H72" i="23"/>
  <c r="H124" i="23" s="1"/>
  <c r="F124" i="23"/>
  <c r="F177" i="23" s="1"/>
  <c r="F127" i="4"/>
  <c r="F125" i="4"/>
  <c r="G74" i="4"/>
  <c r="G126" i="4" s="1"/>
  <c r="F126" i="4"/>
  <c r="V16" i="18"/>
  <c r="W15" i="18"/>
  <c r="W14" i="18"/>
  <c r="I68" i="25" s="1"/>
  <c r="Q56" i="24"/>
  <c r="AA56" i="24"/>
  <c r="Y56" i="24"/>
  <c r="Y108" i="24" s="1"/>
  <c r="T56" i="24"/>
  <c r="AB56" i="24"/>
  <c r="AC56" i="24"/>
  <c r="X56" i="24"/>
  <c r="U56" i="24"/>
  <c r="S56" i="24"/>
  <c r="V56" i="24"/>
  <c r="W56" i="24"/>
  <c r="AD56" i="24"/>
  <c r="AD108" i="24" s="1"/>
  <c r="H54" i="24"/>
  <c r="M54" i="24" s="1"/>
  <c r="H58" i="24"/>
  <c r="R56" i="24"/>
  <c r="Q108" i="24" s="1"/>
  <c r="H108" i="24"/>
  <c r="H59" i="24"/>
  <c r="H55" i="24"/>
  <c r="X11" i="18"/>
  <c r="G65" i="24"/>
  <c r="G117" i="24" s="1"/>
  <c r="F117" i="24"/>
  <c r="F170" i="24" s="1"/>
  <c r="J64" i="23"/>
  <c r="J116" i="23" s="1"/>
  <c r="J66" i="24"/>
  <c r="J118" i="24" s="1"/>
  <c r="F118" i="24"/>
  <c r="F171" i="24" s="1"/>
  <c r="G51" i="24"/>
  <c r="H51" i="24" s="1"/>
  <c r="H103" i="24" s="1"/>
  <c r="F103" i="24"/>
  <c r="F156" i="24" s="1"/>
  <c r="J66" i="23"/>
  <c r="J118" i="23" s="1"/>
  <c r="J67" i="24"/>
  <c r="J119" i="24" s="1"/>
  <c r="F119" i="24"/>
  <c r="F172" i="24" s="1"/>
  <c r="I67" i="23"/>
  <c r="I119" i="23" s="1"/>
  <c r="J68" i="24"/>
  <c r="J120" i="24" s="1"/>
  <c r="F120" i="24"/>
  <c r="F173" i="24" s="1"/>
  <c r="I63" i="23"/>
  <c r="I115" i="23" s="1"/>
  <c r="AD52" i="23"/>
  <c r="AC52" i="23"/>
  <c r="AB52" i="23"/>
  <c r="AA52" i="23"/>
  <c r="Z52" i="23"/>
  <c r="Y52" i="23"/>
  <c r="X52" i="23"/>
  <c r="W52" i="23"/>
  <c r="J68" i="23"/>
  <c r="J120" i="23" s="1"/>
  <c r="I69" i="24"/>
  <c r="I121" i="24" s="1"/>
  <c r="F121" i="24"/>
  <c r="F174" i="24" s="1"/>
  <c r="I63" i="24"/>
  <c r="I115" i="24" s="1"/>
  <c r="F115" i="24"/>
  <c r="F168" i="24" s="1"/>
  <c r="I69" i="23"/>
  <c r="I121" i="23" s="1"/>
  <c r="I70" i="24"/>
  <c r="I122" i="24" s="1"/>
  <c r="F122" i="24"/>
  <c r="F175" i="24" s="1"/>
  <c r="J64" i="24"/>
  <c r="J116" i="24" s="1"/>
  <c r="F116" i="24"/>
  <c r="F169" i="24" s="1"/>
  <c r="I70" i="23"/>
  <c r="I122" i="23" s="1"/>
  <c r="I71" i="24"/>
  <c r="I123" i="24" s="1"/>
  <c r="F123" i="24"/>
  <c r="F176" i="24" s="1"/>
  <c r="T54" i="24"/>
  <c r="H104" i="24"/>
  <c r="AA52" i="24"/>
  <c r="S52" i="24"/>
  <c r="V52" i="24"/>
  <c r="N52" i="24"/>
  <c r="U52" i="24"/>
  <c r="M52" i="24"/>
  <c r="O52" i="24"/>
  <c r="Y52" i="24"/>
  <c r="X52" i="24"/>
  <c r="W52" i="24"/>
  <c r="K52" i="24"/>
  <c r="AD52" i="24"/>
  <c r="P52" i="24"/>
  <c r="Z52" i="24"/>
  <c r="R52" i="24"/>
  <c r="AC52" i="24"/>
  <c r="T52" i="24"/>
  <c r="AB52" i="24"/>
  <c r="L52" i="24"/>
  <c r="Q52" i="24"/>
  <c r="I71" i="23"/>
  <c r="I123" i="23" s="1"/>
  <c r="G103" i="23"/>
  <c r="G61" i="23"/>
  <c r="G113" i="23" s="1"/>
  <c r="G65" i="23"/>
  <c r="G117" i="23" s="1"/>
  <c r="F122" i="4"/>
  <c r="F175" i="4" s="1"/>
  <c r="F115" i="4"/>
  <c r="F168" i="4" s="1"/>
  <c r="G54" i="4"/>
  <c r="F106" i="4"/>
  <c r="F159" i="4" s="1"/>
  <c r="G71" i="4"/>
  <c r="G123" i="4" s="1"/>
  <c r="F123" i="4"/>
  <c r="F176" i="4" s="1"/>
  <c r="I72" i="4"/>
  <c r="I124" i="4" s="1"/>
  <c r="F124" i="4"/>
  <c r="F177" i="4" s="1"/>
  <c r="G58" i="4"/>
  <c r="G109" i="4" s="1"/>
  <c r="F109" i="4"/>
  <c r="F162" i="4" s="1"/>
  <c r="G64" i="4"/>
  <c r="G116" i="4" s="1"/>
  <c r="F116" i="4"/>
  <c r="F169" i="4" s="1"/>
  <c r="G65" i="4"/>
  <c r="G117" i="4" s="1"/>
  <c r="F117" i="4"/>
  <c r="F170" i="4" s="1"/>
  <c r="G68" i="4"/>
  <c r="G120" i="4" s="1"/>
  <c r="F120" i="4"/>
  <c r="F173" i="4" s="1"/>
  <c r="G67" i="4"/>
  <c r="G119" i="4" s="1"/>
  <c r="F119" i="4"/>
  <c r="F172" i="4" s="1"/>
  <c r="G52" i="4"/>
  <c r="F104" i="4"/>
  <c r="F157" i="4" s="1"/>
  <c r="F121" i="4"/>
  <c r="F174" i="4" s="1"/>
  <c r="H69" i="23"/>
  <c r="H121" i="23" s="1"/>
  <c r="J69" i="23"/>
  <c r="J121" i="23" s="1"/>
  <c r="I68" i="24"/>
  <c r="I120" i="24" s="1"/>
  <c r="G66" i="24"/>
  <c r="G118" i="24" s="1"/>
  <c r="J71" i="24"/>
  <c r="J123" i="24" s="1"/>
  <c r="H72" i="4"/>
  <c r="H124" i="4" s="1"/>
  <c r="I65" i="23"/>
  <c r="I117" i="23" s="1"/>
  <c r="H65" i="24"/>
  <c r="H117" i="24" s="1"/>
  <c r="H70" i="24"/>
  <c r="H122" i="24" s="1"/>
  <c r="J72" i="4"/>
  <c r="J124" i="4" s="1"/>
  <c r="H71" i="23"/>
  <c r="H123" i="23" s="1"/>
  <c r="I65" i="24"/>
  <c r="I117" i="24" s="1"/>
  <c r="J70" i="24"/>
  <c r="J122" i="24" s="1"/>
  <c r="J71" i="23"/>
  <c r="J123" i="23" s="1"/>
  <c r="J63" i="24"/>
  <c r="J115" i="24" s="1"/>
  <c r="H63" i="23"/>
  <c r="H115" i="23" s="1"/>
  <c r="J69" i="24"/>
  <c r="J121" i="24" s="1"/>
  <c r="H74" i="4"/>
  <c r="H126" i="4" s="1"/>
  <c r="G70" i="23"/>
  <c r="G122" i="23" s="1"/>
  <c r="G68" i="23"/>
  <c r="G120" i="23" s="1"/>
  <c r="H65" i="23"/>
  <c r="H117" i="23" s="1"/>
  <c r="G61" i="4"/>
  <c r="G69" i="4"/>
  <c r="G121" i="4" s="1"/>
  <c r="I74" i="4"/>
  <c r="I126" i="4" s="1"/>
  <c r="H68" i="23"/>
  <c r="H120" i="23" s="1"/>
  <c r="H73" i="23"/>
  <c r="J74" i="4"/>
  <c r="J126" i="4" s="1"/>
  <c r="I68" i="23"/>
  <c r="I120" i="23" s="1"/>
  <c r="I73" i="23"/>
  <c r="G68" i="24"/>
  <c r="G120" i="24" s="1"/>
  <c r="H73" i="24"/>
  <c r="H69" i="24"/>
  <c r="H121" i="24" s="1"/>
  <c r="H68" i="24"/>
  <c r="H120" i="24" s="1"/>
  <c r="I73" i="24"/>
  <c r="J63" i="23"/>
  <c r="J115" i="23" s="1"/>
  <c r="G70" i="24"/>
  <c r="G122" i="24" s="1"/>
  <c r="G69" i="24"/>
  <c r="G121" i="24" s="1"/>
  <c r="H70" i="23"/>
  <c r="H122" i="23" s="1"/>
  <c r="J70" i="23"/>
  <c r="J122" i="23" s="1"/>
  <c r="G69" i="23"/>
  <c r="G121" i="23" s="1"/>
  <c r="G74" i="24"/>
  <c r="G54" i="23"/>
  <c r="G106" i="23" s="1"/>
  <c r="G62" i="23"/>
  <c r="G114" i="23" s="1"/>
  <c r="U47" i="24"/>
  <c r="V47" i="24" s="1"/>
  <c r="W47" i="24" s="1"/>
  <c r="X47" i="24" s="1"/>
  <c r="Y47" i="24" s="1"/>
  <c r="Z47" i="24" s="1"/>
  <c r="AA47" i="24" s="1"/>
  <c r="AB47" i="24" s="1"/>
  <c r="AC47" i="24" s="1"/>
  <c r="AD47" i="24" s="1"/>
  <c r="G67" i="24"/>
  <c r="G119" i="24" s="1"/>
  <c r="G64" i="24"/>
  <c r="G116" i="24" s="1"/>
  <c r="J65" i="24"/>
  <c r="J117" i="24" s="1"/>
  <c r="H67" i="24"/>
  <c r="H119" i="24" s="1"/>
  <c r="G72" i="24"/>
  <c r="J73" i="24"/>
  <c r="H64" i="24"/>
  <c r="H116" i="24" s="1"/>
  <c r="I67" i="24"/>
  <c r="I119" i="24" s="1"/>
  <c r="H72" i="24"/>
  <c r="I64" i="24"/>
  <c r="I116" i="24" s="1"/>
  <c r="G63" i="24"/>
  <c r="G115" i="24" s="1"/>
  <c r="H66" i="24"/>
  <c r="H118" i="24" s="1"/>
  <c r="G71" i="24"/>
  <c r="G123" i="24" s="1"/>
  <c r="J72" i="24"/>
  <c r="H74" i="24"/>
  <c r="H63" i="24"/>
  <c r="H115" i="24" s="1"/>
  <c r="I66" i="24"/>
  <c r="I118" i="24" s="1"/>
  <c r="H71" i="24"/>
  <c r="H123" i="24" s="1"/>
  <c r="I74" i="24"/>
  <c r="U47" i="23"/>
  <c r="V47" i="23" s="1"/>
  <c r="W47" i="23" s="1"/>
  <c r="X47" i="23" s="1"/>
  <c r="Y47" i="23" s="1"/>
  <c r="Z47" i="23" s="1"/>
  <c r="AA47" i="23" s="1"/>
  <c r="AB47" i="23" s="1"/>
  <c r="AC47" i="23" s="1"/>
  <c r="AD47" i="23" s="1"/>
  <c r="H51" i="23"/>
  <c r="G59" i="23"/>
  <c r="G111" i="23" s="1"/>
  <c r="G67" i="23"/>
  <c r="G119" i="23" s="1"/>
  <c r="H61" i="23"/>
  <c r="H113" i="23" s="1"/>
  <c r="G64" i="23"/>
  <c r="G116" i="23" s="1"/>
  <c r="J65" i="23"/>
  <c r="J117" i="23" s="1"/>
  <c r="H67" i="23"/>
  <c r="H119" i="23" s="1"/>
  <c r="G72" i="23"/>
  <c r="G124" i="23" s="1"/>
  <c r="J73" i="23"/>
  <c r="G55" i="23"/>
  <c r="G107" i="23" s="1"/>
  <c r="J61" i="23"/>
  <c r="J113" i="23" s="1"/>
  <c r="I64" i="23"/>
  <c r="I116" i="23" s="1"/>
  <c r="G66" i="23"/>
  <c r="G118" i="23" s="1"/>
  <c r="J67" i="23"/>
  <c r="J119" i="23" s="1"/>
  <c r="I72" i="23"/>
  <c r="I124" i="23" s="1"/>
  <c r="G74" i="23"/>
  <c r="G60" i="23"/>
  <c r="G112" i="23" s="1"/>
  <c r="I61" i="23"/>
  <c r="I113" i="23" s="1"/>
  <c r="H64" i="23"/>
  <c r="H116" i="23" s="1"/>
  <c r="G56" i="23"/>
  <c r="G108" i="23" s="1"/>
  <c r="G57" i="23"/>
  <c r="G109" i="23" s="1"/>
  <c r="G58" i="23"/>
  <c r="G110" i="23" s="1"/>
  <c r="G63" i="23"/>
  <c r="G115" i="23" s="1"/>
  <c r="H66" i="23"/>
  <c r="H118" i="23" s="1"/>
  <c r="G71" i="23"/>
  <c r="G123" i="23" s="1"/>
  <c r="J72" i="23"/>
  <c r="J124" i="23" s="1"/>
  <c r="H74" i="23"/>
  <c r="I66" i="23"/>
  <c r="I118" i="23" s="1"/>
  <c r="I74" i="23"/>
  <c r="G60" i="4"/>
  <c r="G62" i="4"/>
  <c r="G70" i="4"/>
  <c r="G122" i="4" s="1"/>
  <c r="G56" i="4"/>
  <c r="G73" i="4"/>
  <c r="G53" i="4"/>
  <c r="G59" i="4"/>
  <c r="I73" i="4"/>
  <c r="I125" i="4" s="1"/>
  <c r="G75" i="4"/>
  <c r="G55" i="4"/>
  <c r="G107" i="4" s="1"/>
  <c r="G63" i="4"/>
  <c r="G72" i="4"/>
  <c r="G124" i="4" s="1"/>
  <c r="H75" i="4"/>
  <c r="H127" i="4" s="1"/>
  <c r="I75" i="4"/>
  <c r="I127" i="4" s="1"/>
  <c r="G127" i="4" l="1"/>
  <c r="J75" i="4"/>
  <c r="J127" i="4" s="1"/>
  <c r="G125" i="4"/>
  <c r="J73" i="4"/>
  <c r="J125" i="4" s="1"/>
  <c r="H73" i="4"/>
  <c r="H125" i="4" s="1"/>
  <c r="W51" i="4"/>
  <c r="R51" i="4"/>
  <c r="Q51" i="4"/>
  <c r="L51" i="4"/>
  <c r="P51" i="4"/>
  <c r="O51" i="4"/>
  <c r="V51" i="4"/>
  <c r="N51" i="4"/>
  <c r="T51" i="4"/>
  <c r="U51" i="4"/>
  <c r="M51" i="4"/>
  <c r="S51" i="4"/>
  <c r="K51" i="4"/>
  <c r="H103" i="23"/>
  <c r="W51" i="23"/>
  <c r="W104" i="23"/>
  <c r="X104" i="23"/>
  <c r="Y104" i="23"/>
  <c r="Z104" i="23"/>
  <c r="AA104" i="23"/>
  <c r="AB104" i="23"/>
  <c r="AC104" i="23"/>
  <c r="AD104" i="23"/>
  <c r="X12" i="18"/>
  <c r="Y11" i="18"/>
  <c r="V108" i="24"/>
  <c r="AA108" i="24"/>
  <c r="G115" i="4"/>
  <c r="G114" i="4"/>
  <c r="H71" i="4"/>
  <c r="J71" i="4"/>
  <c r="J123" i="4" s="1"/>
  <c r="I71" i="4"/>
  <c r="I123" i="4" s="1"/>
  <c r="H70" i="4"/>
  <c r="H69" i="4"/>
  <c r="H68" i="4"/>
  <c r="H67" i="4"/>
  <c r="R108" i="24"/>
  <c r="Z108" i="24"/>
  <c r="T108" i="24"/>
  <c r="X108" i="24"/>
  <c r="X15" i="18"/>
  <c r="W16" i="18"/>
  <c r="X14" i="18"/>
  <c r="J68" i="25" s="1"/>
  <c r="Z54" i="24"/>
  <c r="N54" i="24"/>
  <c r="M106" i="24" s="1"/>
  <c r="AC108" i="24"/>
  <c r="AA54" i="24"/>
  <c r="S108" i="24"/>
  <c r="AB108" i="24"/>
  <c r="W108" i="24"/>
  <c r="U108" i="24"/>
  <c r="X54" i="24"/>
  <c r="AC54" i="24"/>
  <c r="Y54" i="24"/>
  <c r="K54" i="24"/>
  <c r="AD54" i="24"/>
  <c r="AD106" i="24" s="1"/>
  <c r="V54" i="24"/>
  <c r="R55" i="24"/>
  <c r="V55" i="24"/>
  <c r="AD55" i="24"/>
  <c r="X55" i="24"/>
  <c r="H107" i="24"/>
  <c r="U55" i="24"/>
  <c r="Z55" i="24"/>
  <c r="W55" i="24"/>
  <c r="AB55" i="24"/>
  <c r="Q55" i="24"/>
  <c r="T55" i="24"/>
  <c r="AA55" i="24"/>
  <c r="AC55" i="24"/>
  <c r="S55" i="24"/>
  <c r="Y55" i="24"/>
  <c r="U54" i="24"/>
  <c r="U106" i="24" s="1"/>
  <c r="P54" i="24"/>
  <c r="W54" i="24"/>
  <c r="AC59" i="24"/>
  <c r="Y59" i="24"/>
  <c r="U59" i="24"/>
  <c r="AB59" i="24"/>
  <c r="W59" i="24"/>
  <c r="Z59" i="24"/>
  <c r="T59" i="24"/>
  <c r="H111" i="24"/>
  <c r="AD59" i="24"/>
  <c r="AA59" i="24"/>
  <c r="V59" i="24"/>
  <c r="S59" i="24"/>
  <c r="X59" i="24"/>
  <c r="AB54" i="24"/>
  <c r="S54" i="24"/>
  <c r="Q54" i="24"/>
  <c r="H106" i="24"/>
  <c r="H110" i="24"/>
  <c r="AA58" i="24"/>
  <c r="Z58" i="24"/>
  <c r="W58" i="24"/>
  <c r="Q58" i="24"/>
  <c r="S58" i="24"/>
  <c r="R58" i="24"/>
  <c r="U58" i="24"/>
  <c r="V58" i="24"/>
  <c r="Y58" i="24"/>
  <c r="T58" i="24"/>
  <c r="X58" i="24"/>
  <c r="AC58" i="24"/>
  <c r="AD58" i="24"/>
  <c r="AB58" i="24"/>
  <c r="O54" i="24"/>
  <c r="R54" i="24"/>
  <c r="L54" i="24"/>
  <c r="L106" i="24" s="1"/>
  <c r="AC155" i="23"/>
  <c r="W98" i="25" s="1"/>
  <c r="AB155" i="23"/>
  <c r="V98" i="25" s="1"/>
  <c r="W155" i="23"/>
  <c r="Q98" i="25" s="1"/>
  <c r="X155" i="23"/>
  <c r="R98" i="25" s="1"/>
  <c r="S155" i="23"/>
  <c r="M98" i="25" s="1"/>
  <c r="Y12" i="18"/>
  <c r="T155" i="23"/>
  <c r="N98" i="25" s="1"/>
  <c r="Z155" i="23"/>
  <c r="T98" i="25" s="1"/>
  <c r="AA155" i="23"/>
  <c r="U98" i="25" s="1"/>
  <c r="N155" i="23"/>
  <c r="H98" i="25" s="1"/>
  <c r="AD155" i="23"/>
  <c r="X98" i="25" s="1"/>
  <c r="P155" i="23"/>
  <c r="J98" i="25" s="1"/>
  <c r="Y155" i="23"/>
  <c r="S98" i="25" s="1"/>
  <c r="L155" i="23"/>
  <c r="F98" i="25" s="1"/>
  <c r="V155" i="23"/>
  <c r="P98" i="25" s="1"/>
  <c r="O155" i="23"/>
  <c r="I98" i="25" s="1"/>
  <c r="R155" i="23"/>
  <c r="L98" i="25" s="1"/>
  <c r="Q155" i="23"/>
  <c r="K98" i="25" s="1"/>
  <c r="U155" i="23"/>
  <c r="O98" i="25" s="1"/>
  <c r="K152" i="23"/>
  <c r="E95" i="25" s="1"/>
  <c r="L152" i="23"/>
  <c r="F95" i="25" s="1"/>
  <c r="M155" i="23"/>
  <c r="G98" i="25" s="1"/>
  <c r="K155" i="23"/>
  <c r="E98" i="25" s="1"/>
  <c r="H65" i="4"/>
  <c r="H63" i="4"/>
  <c r="H114" i="4" s="1"/>
  <c r="L157" i="24"/>
  <c r="L152" i="24" s="1"/>
  <c r="F100" i="25" s="1"/>
  <c r="L104" i="24"/>
  <c r="V157" i="24"/>
  <c r="V104" i="24"/>
  <c r="AB157" i="24"/>
  <c r="AB104" i="24"/>
  <c r="S157" i="24"/>
  <c r="S104" i="24"/>
  <c r="Z157" i="24"/>
  <c r="Z104" i="24"/>
  <c r="AD104" i="24"/>
  <c r="AD157" i="24"/>
  <c r="K157" i="24"/>
  <c r="K152" i="24" s="1"/>
  <c r="K104" i="24"/>
  <c r="AA157" i="24"/>
  <c r="AA104" i="24"/>
  <c r="W157" i="24"/>
  <c r="W104" i="24"/>
  <c r="G103" i="24"/>
  <c r="X157" i="24"/>
  <c r="X104" i="24"/>
  <c r="Z106" i="24"/>
  <c r="T157" i="24"/>
  <c r="T104" i="24"/>
  <c r="R157" i="24"/>
  <c r="R104" i="24"/>
  <c r="Y157" i="24"/>
  <c r="Y104" i="24"/>
  <c r="AC104" i="24"/>
  <c r="AC157" i="24"/>
  <c r="P104" i="24"/>
  <c r="P157" i="24"/>
  <c r="P152" i="24" s="1"/>
  <c r="J100" i="25" s="1"/>
  <c r="K106" i="24"/>
  <c r="O104" i="24"/>
  <c r="O157" i="24"/>
  <c r="M104" i="24"/>
  <c r="M157" i="24"/>
  <c r="U104" i="24"/>
  <c r="U157" i="24"/>
  <c r="Q104" i="24"/>
  <c r="Q157" i="24"/>
  <c r="N104" i="24"/>
  <c r="N157" i="24"/>
  <c r="N152" i="24" s="1"/>
  <c r="H100" i="25" s="1"/>
  <c r="H58" i="4"/>
  <c r="I62" i="23"/>
  <c r="I114" i="23" s="1"/>
  <c r="H62" i="23"/>
  <c r="H114" i="23" s="1"/>
  <c r="J62" i="23"/>
  <c r="J114" i="23" s="1"/>
  <c r="J59" i="23"/>
  <c r="J111" i="23" s="1"/>
  <c r="H58" i="23"/>
  <c r="H110" i="23" s="1"/>
  <c r="J60" i="23"/>
  <c r="J112" i="23" s="1"/>
  <c r="I59" i="23"/>
  <c r="I111" i="23" s="1"/>
  <c r="J58" i="23"/>
  <c r="J110" i="23" s="1"/>
  <c r="G113" i="4"/>
  <c r="G110" i="4"/>
  <c r="H53" i="4"/>
  <c r="G105" i="4"/>
  <c r="G108" i="4"/>
  <c r="G112" i="4"/>
  <c r="H52" i="4"/>
  <c r="G104" i="4"/>
  <c r="G106" i="4"/>
  <c r="H60" i="4"/>
  <c r="H111" i="4" s="1"/>
  <c r="G111" i="4"/>
  <c r="G118" i="4"/>
  <c r="H59" i="4"/>
  <c r="Y51" i="24"/>
  <c r="AB51" i="24"/>
  <c r="AA51" i="24"/>
  <c r="W51" i="24"/>
  <c r="AD51" i="24"/>
  <c r="Z51" i="24"/>
  <c r="AC51" i="24"/>
  <c r="X51" i="24"/>
  <c r="H54" i="23"/>
  <c r="H106" i="23" s="1"/>
  <c r="M52" i="23"/>
  <c r="V51" i="24"/>
  <c r="N51" i="24"/>
  <c r="U51" i="24"/>
  <c r="M51" i="24"/>
  <c r="T51" i="24"/>
  <c r="L51" i="24"/>
  <c r="S51" i="24"/>
  <c r="K51" i="24"/>
  <c r="R51" i="24"/>
  <c r="P51" i="24"/>
  <c r="Q51" i="24"/>
  <c r="O51" i="24"/>
  <c r="V51" i="23"/>
  <c r="N51" i="23"/>
  <c r="O51" i="23"/>
  <c r="U51" i="23"/>
  <c r="M51" i="23"/>
  <c r="T51" i="23"/>
  <c r="L51" i="23"/>
  <c r="P51" i="23"/>
  <c r="S51" i="23"/>
  <c r="K51" i="23"/>
  <c r="R51" i="23"/>
  <c r="Q51" i="23"/>
  <c r="S61" i="23"/>
  <c r="Z61" i="23"/>
  <c r="R61" i="23"/>
  <c r="U61" i="23"/>
  <c r="T61" i="23"/>
  <c r="Y61" i="23"/>
  <c r="Q61" i="23"/>
  <c r="W61" i="23"/>
  <c r="X61" i="23"/>
  <c r="V61" i="23"/>
  <c r="H55" i="23"/>
  <c r="H107" i="23" s="1"/>
  <c r="T52" i="23"/>
  <c r="L52" i="23"/>
  <c r="S52" i="23"/>
  <c r="K52" i="23"/>
  <c r="N52" i="23"/>
  <c r="R52" i="23"/>
  <c r="Q52" i="23"/>
  <c r="P52" i="23"/>
  <c r="O52" i="23"/>
  <c r="V52" i="23"/>
  <c r="U52" i="23"/>
  <c r="H60" i="23"/>
  <c r="H112" i="23" s="1"/>
  <c r="H59" i="23"/>
  <c r="H111" i="23" s="1"/>
  <c r="I58" i="23"/>
  <c r="I110" i="23" s="1"/>
  <c r="I60" i="23"/>
  <c r="I112" i="23" s="1"/>
  <c r="H55" i="4"/>
  <c r="I53" i="4"/>
  <c r="I105" i="4" s="1"/>
  <c r="H62" i="4"/>
  <c r="H56" i="4"/>
  <c r="J53" i="4"/>
  <c r="J105" i="4" s="1"/>
  <c r="H108" i="4" l="1"/>
  <c r="W56" i="4"/>
  <c r="H107" i="4"/>
  <c r="W55" i="4"/>
  <c r="U104" i="23"/>
  <c r="V104" i="23"/>
  <c r="O104" i="23"/>
  <c r="P104" i="23"/>
  <c r="Q104" i="23"/>
  <c r="R104" i="23"/>
  <c r="N104" i="23"/>
  <c r="K104" i="23"/>
  <c r="S104" i="23"/>
  <c r="L104" i="23"/>
  <c r="T104" i="23"/>
  <c r="V166" i="23"/>
  <c r="V113" i="23"/>
  <c r="X166" i="23"/>
  <c r="X113" i="23"/>
  <c r="W166" i="23"/>
  <c r="W113" i="23"/>
  <c r="Q166" i="23"/>
  <c r="Q113" i="23"/>
  <c r="P113" i="23"/>
  <c r="Y166" i="23"/>
  <c r="Y113" i="23"/>
  <c r="T166" i="23"/>
  <c r="T113" i="23"/>
  <c r="U166" i="23"/>
  <c r="U113" i="23"/>
  <c r="R166" i="23"/>
  <c r="R113" i="23"/>
  <c r="Z166" i="23"/>
  <c r="Z113" i="23"/>
  <c r="S166" i="23"/>
  <c r="S113" i="23"/>
  <c r="M104" i="23"/>
  <c r="H104" i="4"/>
  <c r="W52" i="4"/>
  <c r="H105" i="4"/>
  <c r="W53" i="4"/>
  <c r="W156" i="23"/>
  <c r="W103" i="23"/>
  <c r="H121" i="4"/>
  <c r="X69" i="4"/>
  <c r="W69" i="4"/>
  <c r="V69" i="4"/>
  <c r="U69" i="4"/>
  <c r="AB69" i="4"/>
  <c r="T69" i="4"/>
  <c r="AA69" i="4"/>
  <c r="S69" i="4"/>
  <c r="Z69" i="4"/>
  <c r="Y69" i="4"/>
  <c r="H122" i="4"/>
  <c r="AB70" i="4"/>
  <c r="T70" i="4"/>
  <c r="AA70" i="4"/>
  <c r="S70" i="4"/>
  <c r="Z70" i="4"/>
  <c r="Y70" i="4"/>
  <c r="X70" i="4"/>
  <c r="W70" i="4"/>
  <c r="V70" i="4"/>
  <c r="U70" i="4"/>
  <c r="H120" i="4"/>
  <c r="AB68" i="4"/>
  <c r="T68" i="4"/>
  <c r="AA68" i="4"/>
  <c r="S68" i="4"/>
  <c r="Z68" i="4"/>
  <c r="Y68" i="4"/>
  <c r="X68" i="4"/>
  <c r="W68" i="4"/>
  <c r="V68" i="4"/>
  <c r="U68" i="4"/>
  <c r="P71" i="4"/>
  <c r="P176" i="4" s="1"/>
  <c r="O71" i="4"/>
  <c r="N71" i="4"/>
  <c r="M71" i="4"/>
  <c r="L71" i="4"/>
  <c r="AC71" i="4"/>
  <c r="K71" i="4"/>
  <c r="AD71" i="4"/>
  <c r="H123" i="4"/>
  <c r="AB71" i="4"/>
  <c r="T71" i="4"/>
  <c r="V71" i="4"/>
  <c r="AA71" i="4"/>
  <c r="S71" i="4"/>
  <c r="Z71" i="4"/>
  <c r="R71" i="4"/>
  <c r="Y71" i="4"/>
  <c r="Q71" i="4"/>
  <c r="X71" i="4"/>
  <c r="W71" i="4"/>
  <c r="U71" i="4"/>
  <c r="H119" i="4"/>
  <c r="AD67" i="4"/>
  <c r="V67" i="4"/>
  <c r="AC67" i="4"/>
  <c r="U67" i="4"/>
  <c r="AB67" i="4"/>
  <c r="T67" i="4"/>
  <c r="AA67" i="4"/>
  <c r="S67" i="4"/>
  <c r="X67" i="4"/>
  <c r="Z67" i="4"/>
  <c r="Y67" i="4"/>
  <c r="W67" i="4"/>
  <c r="N106" i="24"/>
  <c r="P106" i="24"/>
  <c r="W106" i="24"/>
  <c r="Y106" i="24"/>
  <c r="Y15" i="18"/>
  <c r="X16" i="18"/>
  <c r="Y14" i="18"/>
  <c r="K68" i="25" s="1"/>
  <c r="Q106" i="24"/>
  <c r="X106" i="24"/>
  <c r="R106" i="24"/>
  <c r="O106" i="24"/>
  <c r="AC106" i="24"/>
  <c r="AB106" i="24"/>
  <c r="V106" i="24"/>
  <c r="AA106" i="24"/>
  <c r="S106" i="24"/>
  <c r="W107" i="24"/>
  <c r="W111" i="24"/>
  <c r="T110" i="24"/>
  <c r="Z110" i="24"/>
  <c r="S111" i="24"/>
  <c r="AB111" i="24"/>
  <c r="S107" i="24"/>
  <c r="U107" i="24"/>
  <c r="Z107" i="24"/>
  <c r="Y110" i="24"/>
  <c r="AA110" i="24"/>
  <c r="V111" i="24"/>
  <c r="U111" i="24"/>
  <c r="AC107" i="24"/>
  <c r="Z111" i="24"/>
  <c r="T106" i="24"/>
  <c r="X110" i="24"/>
  <c r="W110" i="24"/>
  <c r="X111" i="24"/>
  <c r="X58" i="23"/>
  <c r="V110" i="24"/>
  <c r="AA111" i="24"/>
  <c r="Y111" i="24"/>
  <c r="AA107" i="24"/>
  <c r="X107" i="24"/>
  <c r="AD110" i="24"/>
  <c r="S110" i="24"/>
  <c r="T111" i="24"/>
  <c r="R107" i="24"/>
  <c r="AC110" i="24"/>
  <c r="Y107" i="24"/>
  <c r="U110" i="24"/>
  <c r="AD111" i="24"/>
  <c r="AC111" i="24"/>
  <c r="T107" i="24"/>
  <c r="AD107" i="24"/>
  <c r="AB107" i="24"/>
  <c r="Q110" i="24"/>
  <c r="AB110" i="24"/>
  <c r="R110" i="24"/>
  <c r="Q107" i="24"/>
  <c r="V107" i="24"/>
  <c r="R58" i="23"/>
  <c r="Z58" i="23"/>
  <c r="E100" i="25"/>
  <c r="P58" i="23"/>
  <c r="M152" i="24"/>
  <c r="G100" i="25" s="1"/>
  <c r="O152" i="24"/>
  <c r="I100" i="25" s="1"/>
  <c r="Z11" i="18"/>
  <c r="H109" i="4"/>
  <c r="Y58" i="4"/>
  <c r="Z58" i="4"/>
  <c r="AB58" i="4"/>
  <c r="AA58" i="4"/>
  <c r="T62" i="4"/>
  <c r="AA62" i="4"/>
  <c r="Z62" i="4"/>
  <c r="AB62" i="4"/>
  <c r="Y62" i="4"/>
  <c r="AD62" i="4"/>
  <c r="AC62" i="4"/>
  <c r="H117" i="4"/>
  <c r="V65" i="4"/>
  <c r="W65" i="4"/>
  <c r="U65" i="4"/>
  <c r="AA65" i="4"/>
  <c r="AB65" i="4"/>
  <c r="T65" i="4"/>
  <c r="S65" i="4"/>
  <c r="Z65" i="4"/>
  <c r="R65" i="4"/>
  <c r="Y65" i="4"/>
  <c r="X65" i="4"/>
  <c r="H110" i="4"/>
  <c r="Z59" i="4"/>
  <c r="AB59" i="4"/>
  <c r="AA59" i="4"/>
  <c r="Y59" i="4"/>
  <c r="H115" i="4"/>
  <c r="Z63" i="4"/>
  <c r="R63" i="4"/>
  <c r="AA63" i="4"/>
  <c r="Y63" i="4"/>
  <c r="X63" i="4"/>
  <c r="W63" i="4"/>
  <c r="AD63" i="4"/>
  <c r="V63" i="4"/>
  <c r="S63" i="4"/>
  <c r="AC63" i="4"/>
  <c r="U63" i="4"/>
  <c r="AB63" i="4"/>
  <c r="T63" i="4"/>
  <c r="H118" i="4"/>
  <c r="O103" i="24"/>
  <c r="S58" i="23"/>
  <c r="K102" i="23"/>
  <c r="E78" i="25" s="1"/>
  <c r="K103" i="24"/>
  <c r="AA58" i="23"/>
  <c r="S103" i="24"/>
  <c r="AC103" i="24"/>
  <c r="T58" i="23"/>
  <c r="Z103" i="24"/>
  <c r="AD103" i="24"/>
  <c r="R103" i="24"/>
  <c r="X103" i="24"/>
  <c r="L103" i="24"/>
  <c r="AB58" i="23"/>
  <c r="T103" i="24"/>
  <c r="AD55" i="23"/>
  <c r="AC55" i="23"/>
  <c r="AB55" i="23"/>
  <c r="AA55" i="23"/>
  <c r="Z55" i="23"/>
  <c r="Y55" i="23"/>
  <c r="X55" i="23"/>
  <c r="W55" i="23"/>
  <c r="M103" i="24"/>
  <c r="W103" i="24"/>
  <c r="N103" i="24"/>
  <c r="AB103" i="24"/>
  <c r="V103" i="24"/>
  <c r="Y103" i="24"/>
  <c r="O54" i="23"/>
  <c r="AA54" i="23"/>
  <c r="Z54" i="23"/>
  <c r="Y54" i="23"/>
  <c r="X54" i="23"/>
  <c r="W54" i="23"/>
  <c r="AD54" i="23"/>
  <c r="AC54" i="23"/>
  <c r="AB54" i="23"/>
  <c r="AA103" i="24"/>
  <c r="Q103" i="24"/>
  <c r="P103" i="24"/>
  <c r="U103" i="24"/>
  <c r="Q103" i="23"/>
  <c r="R103" i="23"/>
  <c r="K103" i="23"/>
  <c r="S103" i="23"/>
  <c r="P103" i="23"/>
  <c r="L103" i="23"/>
  <c r="T103" i="23"/>
  <c r="M103" i="23"/>
  <c r="U103" i="23"/>
  <c r="O103" i="23"/>
  <c r="N103" i="23"/>
  <c r="V103" i="23"/>
  <c r="S62" i="4"/>
  <c r="N58" i="23"/>
  <c r="V58" i="23"/>
  <c r="O58" i="23"/>
  <c r="W58" i="23"/>
  <c r="U58" i="23"/>
  <c r="Q58" i="23"/>
  <c r="Y58" i="23"/>
  <c r="R54" i="23"/>
  <c r="U54" i="23"/>
  <c r="S54" i="23"/>
  <c r="X62" i="4"/>
  <c r="H113" i="4"/>
  <c r="Q54" i="23"/>
  <c r="T54" i="23"/>
  <c r="N54" i="23"/>
  <c r="V54" i="23"/>
  <c r="P54" i="23"/>
  <c r="M54" i="23"/>
  <c r="R62" i="4"/>
  <c r="X60" i="23"/>
  <c r="P60" i="23"/>
  <c r="W60" i="23"/>
  <c r="O60" i="23"/>
  <c r="V60" i="23"/>
  <c r="N60" i="23"/>
  <c r="T60" i="23"/>
  <c r="U60" i="23"/>
  <c r="S60" i="23"/>
  <c r="R60" i="23"/>
  <c r="Q60" i="23"/>
  <c r="R55" i="23"/>
  <c r="S55" i="23"/>
  <c r="Q55" i="23"/>
  <c r="T55" i="23"/>
  <c r="P55" i="23"/>
  <c r="V55" i="23"/>
  <c r="N55" i="23"/>
  <c r="O55" i="23"/>
  <c r="U55" i="23"/>
  <c r="M55" i="23"/>
  <c r="L48" i="23"/>
  <c r="L46" i="23" s="1"/>
  <c r="K48" i="23"/>
  <c r="K46" i="23" s="1"/>
  <c r="X59" i="23"/>
  <c r="P59" i="23"/>
  <c r="W59" i="23"/>
  <c r="O59" i="23"/>
  <c r="V59" i="23"/>
  <c r="N59" i="23"/>
  <c r="T59" i="23"/>
  <c r="U59" i="23"/>
  <c r="Q59" i="23"/>
  <c r="S59" i="23"/>
  <c r="R59" i="23"/>
  <c r="U62" i="4"/>
  <c r="O62" i="4"/>
  <c r="Q62" i="4"/>
  <c r="V62" i="4"/>
  <c r="N62" i="4"/>
  <c r="W62" i="4"/>
  <c r="P62" i="4"/>
  <c r="V55" i="4"/>
  <c r="U55" i="4"/>
  <c r="T55" i="4"/>
  <c r="S55" i="4"/>
  <c r="R55" i="4"/>
  <c r="Q55" i="4"/>
  <c r="P55" i="4"/>
  <c r="O55" i="4"/>
  <c r="N55" i="4"/>
  <c r="M55" i="4"/>
  <c r="L55" i="4"/>
  <c r="K55" i="4"/>
  <c r="N53" i="4"/>
  <c r="N158" i="4" s="1"/>
  <c r="M53" i="4"/>
  <c r="M158" i="4" s="1"/>
  <c r="L53" i="4"/>
  <c r="L158" i="4" s="1"/>
  <c r="K53" i="4"/>
  <c r="K158" i="4" s="1"/>
  <c r="K24" i="18"/>
  <c r="M24" i="18"/>
  <c r="M21" i="18"/>
  <c r="K21" i="18"/>
  <c r="J59" i="4" l="1"/>
  <c r="J110" i="4" s="1"/>
  <c r="J69" i="4"/>
  <c r="J121" i="4" s="1"/>
  <c r="I59" i="4"/>
  <c r="I110" i="4" s="1"/>
  <c r="I69" i="4"/>
  <c r="I121" i="4" s="1"/>
  <c r="R164" i="23"/>
  <c r="R111" i="23"/>
  <c r="S164" i="23"/>
  <c r="S111" i="23"/>
  <c r="Q164" i="23"/>
  <c r="Q111" i="23"/>
  <c r="U164" i="23"/>
  <c r="U111" i="23"/>
  <c r="T164" i="23"/>
  <c r="T111" i="23"/>
  <c r="N164" i="23"/>
  <c r="N111" i="23"/>
  <c r="M111" i="23"/>
  <c r="V164" i="23"/>
  <c r="V111" i="23"/>
  <c r="O164" i="23"/>
  <c r="O111" i="23"/>
  <c r="W164" i="23"/>
  <c r="W111" i="23"/>
  <c r="P164" i="23"/>
  <c r="P111" i="23"/>
  <c r="X164" i="23"/>
  <c r="X111" i="23"/>
  <c r="M107" i="23"/>
  <c r="U107" i="23"/>
  <c r="O107" i="23"/>
  <c r="N107" i="23"/>
  <c r="V107" i="23"/>
  <c r="P107" i="23"/>
  <c r="T107" i="23"/>
  <c r="Q107" i="23"/>
  <c r="S107" i="23"/>
  <c r="R107" i="23"/>
  <c r="Q165" i="23"/>
  <c r="Q112" i="23"/>
  <c r="R165" i="23"/>
  <c r="R112" i="23"/>
  <c r="S165" i="23"/>
  <c r="S112" i="23"/>
  <c r="U165" i="23"/>
  <c r="U112" i="23"/>
  <c r="T165" i="23"/>
  <c r="T112" i="23"/>
  <c r="N165" i="23"/>
  <c r="N112" i="23"/>
  <c r="M112" i="23"/>
  <c r="V165" i="23"/>
  <c r="V112" i="23"/>
  <c r="O165" i="23"/>
  <c r="O112" i="23"/>
  <c r="W165" i="23"/>
  <c r="W112" i="23"/>
  <c r="P165" i="23"/>
  <c r="P112" i="23"/>
  <c r="X165" i="23"/>
  <c r="X112" i="23"/>
  <c r="M106" i="23"/>
  <c r="P106" i="23"/>
  <c r="V106" i="23"/>
  <c r="N106" i="23"/>
  <c r="T106" i="23"/>
  <c r="Q106" i="23"/>
  <c r="S106" i="23"/>
  <c r="U106" i="23"/>
  <c r="R106" i="23"/>
  <c r="Y163" i="23"/>
  <c r="Y110" i="23"/>
  <c r="Q163" i="23"/>
  <c r="Q110" i="23"/>
  <c r="U163" i="23"/>
  <c r="U110" i="23"/>
  <c r="W163" i="23"/>
  <c r="W110" i="23"/>
  <c r="O163" i="23"/>
  <c r="O110" i="23"/>
  <c r="V163" i="23"/>
  <c r="V110" i="23"/>
  <c r="N163" i="23"/>
  <c r="N110" i="23"/>
  <c r="M110" i="23"/>
  <c r="AB106" i="23"/>
  <c r="AC106" i="23"/>
  <c r="AD106" i="23"/>
  <c r="W106" i="23"/>
  <c r="X106" i="23"/>
  <c r="Y106" i="23"/>
  <c r="Z106" i="23"/>
  <c r="AA106" i="23"/>
  <c r="O106" i="23"/>
  <c r="W107" i="23"/>
  <c r="X107" i="23"/>
  <c r="Y107" i="23"/>
  <c r="Z107" i="23"/>
  <c r="AA107" i="23"/>
  <c r="AB107" i="23"/>
  <c r="AC107" i="23"/>
  <c r="AD107" i="23"/>
  <c r="AB163" i="23"/>
  <c r="AB110" i="23"/>
  <c r="T163" i="23"/>
  <c r="T110" i="23"/>
  <c r="AA163" i="23"/>
  <c r="AA110" i="23"/>
  <c r="S163" i="23"/>
  <c r="S110" i="23"/>
  <c r="P163" i="23"/>
  <c r="P110" i="23"/>
  <c r="Z163" i="23"/>
  <c r="Z110" i="23"/>
  <c r="R163" i="23"/>
  <c r="R110" i="23"/>
  <c r="X163" i="23"/>
  <c r="X110" i="23"/>
  <c r="W158" i="4"/>
  <c r="W105" i="4"/>
  <c r="W104" i="4"/>
  <c r="W107" i="4"/>
  <c r="W108" i="4"/>
  <c r="S114" i="4"/>
  <c r="Y114" i="4"/>
  <c r="Z114" i="4"/>
  <c r="T114" i="4"/>
  <c r="X114" i="4"/>
  <c r="AB114" i="4"/>
  <c r="V114" i="4"/>
  <c r="AD114" i="4"/>
  <c r="W114" i="4"/>
  <c r="R114" i="4"/>
  <c r="U114" i="4"/>
  <c r="AA114" i="4"/>
  <c r="AC114" i="4"/>
  <c r="AB122" i="4"/>
  <c r="AB174" i="4"/>
  <c r="AB121" i="4"/>
  <c r="U120" i="4"/>
  <c r="S120" i="4"/>
  <c r="Y122" i="4"/>
  <c r="Q174" i="4"/>
  <c r="P121" i="4"/>
  <c r="Q121" i="4"/>
  <c r="U174" i="4"/>
  <c r="U121" i="4"/>
  <c r="T122" i="4"/>
  <c r="R173" i="4"/>
  <c r="T174" i="4"/>
  <c r="T121" i="4"/>
  <c r="V120" i="4"/>
  <c r="AA120" i="4"/>
  <c r="R175" i="4"/>
  <c r="Y174" i="4"/>
  <c r="Y121" i="4"/>
  <c r="V174" i="4"/>
  <c r="V121" i="4"/>
  <c r="Y120" i="4"/>
  <c r="W120" i="4"/>
  <c r="T120" i="4"/>
  <c r="Z122" i="4"/>
  <c r="R121" i="4"/>
  <c r="R174" i="4"/>
  <c r="W174" i="4"/>
  <c r="W121" i="4"/>
  <c r="W122" i="4"/>
  <c r="Z120" i="4"/>
  <c r="X120" i="4"/>
  <c r="AB120" i="4"/>
  <c r="U122" i="4"/>
  <c r="S122" i="4"/>
  <c r="Z174" i="4"/>
  <c r="Z121" i="4"/>
  <c r="X174" i="4"/>
  <c r="X121" i="4"/>
  <c r="AA174" i="4"/>
  <c r="AA121" i="4"/>
  <c r="X122" i="4"/>
  <c r="Q122" i="4"/>
  <c r="Q175" i="4"/>
  <c r="P122" i="4"/>
  <c r="Q120" i="4"/>
  <c r="Q173" i="4"/>
  <c r="P120" i="4"/>
  <c r="V122" i="4"/>
  <c r="AA122" i="4"/>
  <c r="S174" i="4"/>
  <c r="S121" i="4"/>
  <c r="K123" i="4"/>
  <c r="K176" i="4"/>
  <c r="AC123" i="4"/>
  <c r="AC176" i="4"/>
  <c r="L123" i="4"/>
  <c r="L176" i="4"/>
  <c r="AD123" i="4"/>
  <c r="AD176" i="4"/>
  <c r="M176" i="4"/>
  <c r="M123" i="4"/>
  <c r="N123" i="4"/>
  <c r="N176" i="4"/>
  <c r="O176" i="4"/>
  <c r="O123" i="4"/>
  <c r="R176" i="4"/>
  <c r="R123" i="4"/>
  <c r="Z123" i="4"/>
  <c r="Z176" i="4"/>
  <c r="S176" i="4"/>
  <c r="S123" i="4"/>
  <c r="U176" i="4"/>
  <c r="U123" i="4"/>
  <c r="AA176" i="4"/>
  <c r="AA123" i="4"/>
  <c r="W176" i="4"/>
  <c r="W123" i="4"/>
  <c r="V176" i="4"/>
  <c r="V123" i="4"/>
  <c r="X123" i="4"/>
  <c r="X176" i="4"/>
  <c r="T176" i="4"/>
  <c r="T123" i="4"/>
  <c r="Q123" i="4"/>
  <c r="P123" i="4"/>
  <c r="Q176" i="4"/>
  <c r="AB123" i="4"/>
  <c r="AB176" i="4"/>
  <c r="Y123" i="4"/>
  <c r="Y176" i="4"/>
  <c r="Q172" i="4"/>
  <c r="P119" i="4"/>
  <c r="AB119" i="4"/>
  <c r="Y119" i="4"/>
  <c r="U119" i="4"/>
  <c r="T119" i="4"/>
  <c r="R172" i="4"/>
  <c r="AC119" i="4"/>
  <c r="Z119" i="4"/>
  <c r="V119" i="4"/>
  <c r="AA119" i="4"/>
  <c r="W119" i="4"/>
  <c r="X119" i="4"/>
  <c r="AD119" i="4"/>
  <c r="S119" i="4"/>
  <c r="Z12" i="18"/>
  <c r="AA11" i="18"/>
  <c r="Z15" i="18"/>
  <c r="Y16" i="18"/>
  <c r="Z14" i="18"/>
  <c r="L68" i="25" s="1"/>
  <c r="J59" i="24"/>
  <c r="J55" i="24"/>
  <c r="I55" i="24"/>
  <c r="I59" i="24"/>
  <c r="Y163" i="4"/>
  <c r="AW4" i="23"/>
  <c r="AW5" i="23" s="1"/>
  <c r="E60" i="25"/>
  <c r="E67" i="25" s="1"/>
  <c r="F60" i="25"/>
  <c r="F67" i="25" s="1"/>
  <c r="AW6" i="23"/>
  <c r="AW7" i="23" s="1"/>
  <c r="AA163" i="4"/>
  <c r="AB163" i="4"/>
  <c r="Z163" i="4"/>
  <c r="AA12" i="18"/>
  <c r="AC115" i="4"/>
  <c r="AA115" i="4"/>
  <c r="AB117" i="4"/>
  <c r="Y113" i="4"/>
  <c r="U115" i="4"/>
  <c r="AD113" i="4"/>
  <c r="S115" i="4"/>
  <c r="R115" i="4"/>
  <c r="X117" i="4"/>
  <c r="AB113" i="4"/>
  <c r="AA109" i="4"/>
  <c r="Z110" i="4"/>
  <c r="AA117" i="4"/>
  <c r="V115" i="4"/>
  <c r="Z115" i="4"/>
  <c r="U117" i="4"/>
  <c r="Z113" i="4"/>
  <c r="AB109" i="4"/>
  <c r="AD115" i="4"/>
  <c r="Y117" i="4"/>
  <c r="W117" i="4"/>
  <c r="AA113" i="4"/>
  <c r="Z109" i="4"/>
  <c r="AB115" i="4"/>
  <c r="AC113" i="4"/>
  <c r="W115" i="4"/>
  <c r="Y110" i="4"/>
  <c r="R117" i="4"/>
  <c r="V117" i="4"/>
  <c r="Y109" i="4"/>
  <c r="AB110" i="4"/>
  <c r="S117" i="4"/>
  <c r="Y115" i="4"/>
  <c r="T117" i="4"/>
  <c r="T115" i="4"/>
  <c r="X115" i="4"/>
  <c r="AA110" i="4"/>
  <c r="Z117" i="4"/>
  <c r="U118" i="4"/>
  <c r="AC118" i="4"/>
  <c r="AA118" i="4"/>
  <c r="W118" i="4"/>
  <c r="T118" i="4"/>
  <c r="R118" i="4"/>
  <c r="S118" i="4"/>
  <c r="AB118" i="4"/>
  <c r="X118" i="4"/>
  <c r="AD118" i="4"/>
  <c r="Y118" i="4"/>
  <c r="Z118" i="4"/>
  <c r="J55" i="23"/>
  <c r="J58" i="4"/>
  <c r="J109" i="4" s="1"/>
  <c r="S113" i="4"/>
  <c r="I58" i="4"/>
  <c r="I109" i="4" s="1"/>
  <c r="I55" i="23"/>
  <c r="V107" i="4"/>
  <c r="W113" i="4"/>
  <c r="R107" i="4"/>
  <c r="S107" i="4"/>
  <c r="T107" i="4"/>
  <c r="R113" i="4"/>
  <c r="X113" i="4"/>
  <c r="L107" i="4"/>
  <c r="Q107" i="4"/>
  <c r="P113" i="4"/>
  <c r="Q113" i="4"/>
  <c r="L105" i="4"/>
  <c r="O113" i="4"/>
  <c r="M105" i="4"/>
  <c r="M107" i="4"/>
  <c r="U113" i="4"/>
  <c r="N107" i="4"/>
  <c r="O107" i="4"/>
  <c r="P107" i="4"/>
  <c r="U107" i="4"/>
  <c r="N113" i="4"/>
  <c r="V113" i="4"/>
  <c r="K105" i="4"/>
  <c r="K107" i="4"/>
  <c r="T113" i="4"/>
  <c r="AV4" i="23"/>
  <c r="AV5" i="23" s="1"/>
  <c r="E52" i="25"/>
  <c r="AV6" i="23"/>
  <c r="AV7" i="23" s="1"/>
  <c r="F52" i="25"/>
  <c r="R59" i="4"/>
  <c r="R163" i="4" s="1"/>
  <c r="O59" i="4"/>
  <c r="O163" i="4" s="1"/>
  <c r="N59" i="4"/>
  <c r="N163" i="4" s="1"/>
  <c r="U59" i="4"/>
  <c r="U163" i="4" s="1"/>
  <c r="T59" i="4"/>
  <c r="T163" i="4" s="1"/>
  <c r="Q59" i="4"/>
  <c r="Q163" i="4" s="1"/>
  <c r="X59" i="4"/>
  <c r="X163" i="4" s="1"/>
  <c r="P59" i="4"/>
  <c r="P163" i="4" s="1"/>
  <c r="W59" i="4"/>
  <c r="W163" i="4" s="1"/>
  <c r="V59" i="4"/>
  <c r="V163" i="4" s="1"/>
  <c r="S59" i="4"/>
  <c r="S163" i="4" s="1"/>
  <c r="V58" i="4"/>
  <c r="N58" i="4"/>
  <c r="N162" i="4" s="1"/>
  <c r="Q58" i="4"/>
  <c r="X58" i="4"/>
  <c r="P58" i="4"/>
  <c r="W58" i="4"/>
  <c r="O58" i="4"/>
  <c r="U58" i="4"/>
  <c r="T58" i="4"/>
  <c r="S58" i="4"/>
  <c r="S162" i="4" s="1"/>
  <c r="R58" i="4"/>
  <c r="I107" i="23" l="1"/>
  <c r="L107" i="23"/>
  <c r="J107" i="23"/>
  <c r="M160" i="23"/>
  <c r="U160" i="23"/>
  <c r="O160" i="23"/>
  <c r="N160" i="23"/>
  <c r="V160" i="23"/>
  <c r="P160" i="23"/>
  <c r="T160" i="23"/>
  <c r="Q160" i="23"/>
  <c r="S160" i="23"/>
  <c r="R160" i="23"/>
  <c r="W160" i="23"/>
  <c r="X160" i="23"/>
  <c r="Y160" i="23"/>
  <c r="Z160" i="23"/>
  <c r="AA160" i="23"/>
  <c r="AB160" i="23"/>
  <c r="AC160" i="23"/>
  <c r="AD160" i="23"/>
  <c r="P162" i="4"/>
  <c r="AA15" i="18"/>
  <c r="Z16" i="18"/>
  <c r="AA14" i="18"/>
  <c r="M68" i="25" s="1"/>
  <c r="I107" i="24"/>
  <c r="P107" i="24"/>
  <c r="I111" i="24"/>
  <c r="R111" i="24"/>
  <c r="J107" i="24"/>
  <c r="AC160" i="24"/>
  <c r="S160" i="24"/>
  <c r="Z160" i="24"/>
  <c r="W160" i="24"/>
  <c r="T160" i="24"/>
  <c r="AA160" i="24"/>
  <c r="AD160" i="24"/>
  <c r="R160" i="24"/>
  <c r="R152" i="24" s="1"/>
  <c r="L100" i="25" s="1"/>
  <c r="U160" i="24"/>
  <c r="Y160" i="24"/>
  <c r="Q160" i="24"/>
  <c r="Q152" i="24" s="1"/>
  <c r="K100" i="25" s="1"/>
  <c r="V160" i="24"/>
  <c r="X160" i="24"/>
  <c r="AB160" i="24"/>
  <c r="J111" i="24"/>
  <c r="AC164" i="24"/>
  <c r="AA164" i="24"/>
  <c r="Z164" i="24"/>
  <c r="X164" i="24"/>
  <c r="W164" i="24"/>
  <c r="Y164" i="24"/>
  <c r="AB164" i="24"/>
  <c r="AD164" i="24"/>
  <c r="S164" i="24"/>
  <c r="V164" i="24"/>
  <c r="T164" i="24"/>
  <c r="U164" i="24"/>
  <c r="AA162" i="4"/>
  <c r="X162" i="4"/>
  <c r="R162" i="4"/>
  <c r="Q162" i="4"/>
  <c r="T162" i="4"/>
  <c r="V162" i="4"/>
  <c r="U162" i="4"/>
  <c r="O162" i="4"/>
  <c r="W162" i="4"/>
  <c r="M152" i="23"/>
  <c r="G95" i="25" s="1"/>
  <c r="AB11" i="18"/>
  <c r="AC11" i="18" s="1"/>
  <c r="Z162" i="4"/>
  <c r="AB162" i="4"/>
  <c r="Y162" i="4"/>
  <c r="S109" i="4"/>
  <c r="T109" i="4"/>
  <c r="Q109" i="4"/>
  <c r="Q110" i="4"/>
  <c r="X109" i="4"/>
  <c r="V109" i="4"/>
  <c r="S110" i="4"/>
  <c r="V110" i="4"/>
  <c r="W110" i="4"/>
  <c r="P110" i="4"/>
  <c r="X110" i="4"/>
  <c r="R109" i="4"/>
  <c r="T110" i="4"/>
  <c r="O109" i="4"/>
  <c r="N109" i="4"/>
  <c r="M109" i="4"/>
  <c r="U110" i="4"/>
  <c r="U109" i="4"/>
  <c r="N110" i="4"/>
  <c r="M110" i="4"/>
  <c r="O110" i="4"/>
  <c r="W109" i="4"/>
  <c r="R110" i="4"/>
  <c r="P109" i="4"/>
  <c r="G29" i="18"/>
  <c r="J29" i="18" s="1"/>
  <c r="H57" i="23" s="1"/>
  <c r="H109" i="23" l="1"/>
  <c r="S57" i="23"/>
  <c r="AD57" i="23"/>
  <c r="AD109" i="23" s="1"/>
  <c r="AC57" i="23"/>
  <c r="AC109" i="23" s="1"/>
  <c r="AB57" i="23"/>
  <c r="AB109" i="23" s="1"/>
  <c r="AA57" i="23"/>
  <c r="AA109" i="23" s="1"/>
  <c r="Z57" i="23"/>
  <c r="Z109" i="23" s="1"/>
  <c r="Y57" i="23"/>
  <c r="Y109" i="23" s="1"/>
  <c r="X57" i="23"/>
  <c r="X109" i="23" s="1"/>
  <c r="W57" i="23"/>
  <c r="W109" i="23" s="1"/>
  <c r="V57" i="23"/>
  <c r="V109" i="23" s="1"/>
  <c r="U57" i="23"/>
  <c r="U109" i="23" s="1"/>
  <c r="T57" i="23"/>
  <c r="T109" i="23" s="1"/>
  <c r="R57" i="23"/>
  <c r="R109" i="23" s="1"/>
  <c r="Z152" i="24"/>
  <c r="T100" i="25" s="1"/>
  <c r="Y152" i="24"/>
  <c r="S100" i="25" s="1"/>
  <c r="AA16" i="18"/>
  <c r="AB15" i="18"/>
  <c r="AB14" i="18"/>
  <c r="N68" i="25" s="1"/>
  <c r="AC12" i="18"/>
  <c r="AB12" i="18"/>
  <c r="AD152" i="24"/>
  <c r="X100" i="25" s="1"/>
  <c r="V152" i="24"/>
  <c r="P100" i="25" s="1"/>
  <c r="H57" i="24"/>
  <c r="H64" i="4"/>
  <c r="S152" i="24"/>
  <c r="M100" i="25" s="1"/>
  <c r="U152" i="24"/>
  <c r="O100" i="25" s="1"/>
  <c r="AC152" i="24"/>
  <c r="W100" i="25" s="1"/>
  <c r="AB152" i="24"/>
  <c r="V100" i="25" s="1"/>
  <c r="AA152" i="24"/>
  <c r="U100" i="25" s="1"/>
  <c r="X152" i="24"/>
  <c r="R100" i="25" s="1"/>
  <c r="T152" i="24"/>
  <c r="N100" i="25" s="1"/>
  <c r="W152" i="24"/>
  <c r="Q100" i="25" s="1"/>
  <c r="H53" i="24"/>
  <c r="H54" i="4"/>
  <c r="W54" i="4" s="1"/>
  <c r="H56" i="23"/>
  <c r="H108" i="23" s="1"/>
  <c r="H61" i="4"/>
  <c r="K29" i="18"/>
  <c r="I53" i="23" s="1"/>
  <c r="I105" i="23" s="1"/>
  <c r="M29" i="18"/>
  <c r="J53" i="23" s="1"/>
  <c r="K28" i="18"/>
  <c r="M28" i="18"/>
  <c r="K27" i="18"/>
  <c r="M27" i="18"/>
  <c r="K26" i="18"/>
  <c r="M26" i="18"/>
  <c r="M25" i="18"/>
  <c r="J57" i="23" s="1"/>
  <c r="K25" i="18"/>
  <c r="I57" i="23" s="1"/>
  <c r="Q109" i="23" s="1"/>
  <c r="M23" i="18"/>
  <c r="K23" i="18"/>
  <c r="M22" i="18"/>
  <c r="M20" i="18"/>
  <c r="K22" i="18"/>
  <c r="K20" i="18"/>
  <c r="I56" i="4" l="1"/>
  <c r="I108" i="4" s="1"/>
  <c r="I57" i="4"/>
  <c r="J56" i="4"/>
  <c r="J57" i="4"/>
  <c r="I66" i="4"/>
  <c r="I70" i="4"/>
  <c r="I68" i="4"/>
  <c r="J66" i="4"/>
  <c r="J70" i="4"/>
  <c r="J68" i="4"/>
  <c r="J63" i="4"/>
  <c r="J67" i="4"/>
  <c r="I63" i="4"/>
  <c r="I67" i="4"/>
  <c r="J56" i="24"/>
  <c r="J51" i="4"/>
  <c r="I56" i="24"/>
  <c r="I51" i="4"/>
  <c r="X158" i="23"/>
  <c r="P158" i="23"/>
  <c r="U158" i="23"/>
  <c r="T158" i="23"/>
  <c r="AA158" i="23"/>
  <c r="R158" i="23"/>
  <c r="Y158" i="23"/>
  <c r="W158" i="23"/>
  <c r="O158" i="23"/>
  <c r="AC158" i="23"/>
  <c r="M158" i="23"/>
  <c r="AB158" i="23"/>
  <c r="L158" i="23"/>
  <c r="L154" i="23" s="1"/>
  <c r="F97" i="25" s="1"/>
  <c r="S158" i="23"/>
  <c r="K158" i="23"/>
  <c r="K154" i="23" s="1"/>
  <c r="E97" i="25" s="1"/>
  <c r="Z158" i="23"/>
  <c r="Q158" i="23"/>
  <c r="AD158" i="23"/>
  <c r="V158" i="23"/>
  <c r="N158" i="23"/>
  <c r="J105" i="23"/>
  <c r="S109" i="23"/>
  <c r="J108" i="4"/>
  <c r="W161" i="4"/>
  <c r="Q114" i="4"/>
  <c r="Q115" i="4"/>
  <c r="W106" i="4"/>
  <c r="I114" i="4"/>
  <c r="P114" i="4"/>
  <c r="J114" i="4"/>
  <c r="AB167" i="4"/>
  <c r="AC167" i="4"/>
  <c r="Y167" i="4"/>
  <c r="R167" i="4"/>
  <c r="U167" i="4"/>
  <c r="S167" i="4"/>
  <c r="X167" i="4"/>
  <c r="AD167" i="4"/>
  <c r="W167" i="4"/>
  <c r="Z167" i="4"/>
  <c r="T167" i="4"/>
  <c r="AA167" i="4"/>
  <c r="V167" i="4"/>
  <c r="Q167" i="4"/>
  <c r="I109" i="23"/>
  <c r="P109" i="23"/>
  <c r="J109" i="23"/>
  <c r="AD162" i="23"/>
  <c r="R162" i="23"/>
  <c r="T162" i="23"/>
  <c r="Z162" i="23"/>
  <c r="AA162" i="23"/>
  <c r="S162" i="23"/>
  <c r="U162" i="23"/>
  <c r="V162" i="23"/>
  <c r="W162" i="23"/>
  <c r="Q162" i="23"/>
  <c r="X162" i="23"/>
  <c r="AB162" i="23"/>
  <c r="Y162" i="23"/>
  <c r="AC162" i="23"/>
  <c r="AD11" i="18"/>
  <c r="AB16" i="18"/>
  <c r="AC14" i="18"/>
  <c r="O68" i="25" s="1"/>
  <c r="I58" i="24"/>
  <c r="I65" i="4"/>
  <c r="Q117" i="4" s="1"/>
  <c r="I115" i="4"/>
  <c r="P115" i="4"/>
  <c r="J108" i="24"/>
  <c r="R161" i="24"/>
  <c r="T161" i="24"/>
  <c r="Q161" i="24"/>
  <c r="Z161" i="24"/>
  <c r="AB161" i="24"/>
  <c r="AA161" i="24"/>
  <c r="AD161" i="24"/>
  <c r="U161" i="24"/>
  <c r="Y161" i="24"/>
  <c r="X161" i="24"/>
  <c r="V161" i="24"/>
  <c r="S161" i="24"/>
  <c r="AC161" i="24"/>
  <c r="W161" i="24"/>
  <c r="I108" i="24"/>
  <c r="P108" i="24"/>
  <c r="J58" i="24"/>
  <c r="J65" i="4"/>
  <c r="J57" i="24"/>
  <c r="J109" i="24" s="1"/>
  <c r="J64" i="4"/>
  <c r="J116" i="4" s="1"/>
  <c r="I57" i="24"/>
  <c r="I109" i="24" s="1"/>
  <c r="I64" i="4"/>
  <c r="I116" i="4" s="1"/>
  <c r="Y64" i="4"/>
  <c r="V64" i="4"/>
  <c r="AC64" i="4"/>
  <c r="S64" i="4"/>
  <c r="Z64" i="4"/>
  <c r="U64" i="4"/>
  <c r="R64" i="4"/>
  <c r="AA64" i="4"/>
  <c r="AD64" i="4"/>
  <c r="H116" i="4"/>
  <c r="T64" i="4"/>
  <c r="W64" i="4"/>
  <c r="AB64" i="4"/>
  <c r="X64" i="4"/>
  <c r="J115" i="4"/>
  <c r="X168" i="4"/>
  <c r="T168" i="4"/>
  <c r="V168" i="4"/>
  <c r="Y168" i="4"/>
  <c r="S168" i="4"/>
  <c r="Z168" i="4"/>
  <c r="AC168" i="4"/>
  <c r="AB168" i="4"/>
  <c r="R168" i="4"/>
  <c r="AD168" i="4"/>
  <c r="AA168" i="4"/>
  <c r="U168" i="4"/>
  <c r="W168" i="4"/>
  <c r="Q168" i="4"/>
  <c r="W57" i="24"/>
  <c r="U57" i="24"/>
  <c r="T57" i="24"/>
  <c r="AD57" i="24"/>
  <c r="S57" i="24"/>
  <c r="AC57" i="24"/>
  <c r="V57" i="24"/>
  <c r="R57" i="24"/>
  <c r="X57" i="24"/>
  <c r="AB57" i="24"/>
  <c r="Q57" i="24"/>
  <c r="Y57" i="24"/>
  <c r="H109" i="24"/>
  <c r="AA57" i="24"/>
  <c r="Z57" i="24"/>
  <c r="Y61" i="4"/>
  <c r="AD61" i="4"/>
  <c r="AD48" i="4" s="1"/>
  <c r="AC61" i="4"/>
  <c r="AA61" i="4"/>
  <c r="Z61" i="4"/>
  <c r="AB61" i="4"/>
  <c r="J52" i="23"/>
  <c r="J52" i="4"/>
  <c r="J60" i="4"/>
  <c r="J111" i="4" s="1"/>
  <c r="J51" i="24"/>
  <c r="J54" i="23"/>
  <c r="I52" i="23"/>
  <c r="I104" i="23" s="1"/>
  <c r="I52" i="4"/>
  <c r="I104" i="4" s="1"/>
  <c r="I51" i="24"/>
  <c r="I103" i="24" s="1"/>
  <c r="I51" i="23"/>
  <c r="I103" i="23" s="1"/>
  <c r="I54" i="23"/>
  <c r="I60" i="4"/>
  <c r="I111" i="4" s="1"/>
  <c r="J54" i="24"/>
  <c r="J55" i="4"/>
  <c r="W160" i="4" s="1"/>
  <c r="J62" i="4"/>
  <c r="I54" i="24"/>
  <c r="I106" i="24" s="1"/>
  <c r="I62" i="4"/>
  <c r="I55" i="4"/>
  <c r="I107" i="4" s="1"/>
  <c r="J53" i="24"/>
  <c r="J105" i="24" s="1"/>
  <c r="J54" i="4"/>
  <c r="J61" i="4"/>
  <c r="J112" i="4" s="1"/>
  <c r="J56" i="23"/>
  <c r="J108" i="23" s="1"/>
  <c r="I53" i="24"/>
  <c r="I105" i="24" s="1"/>
  <c r="I61" i="4"/>
  <c r="I112" i="4" s="1"/>
  <c r="I56" i="23"/>
  <c r="I108" i="23" s="1"/>
  <c r="I54" i="4"/>
  <c r="I106" i="4" s="1"/>
  <c r="X61" i="4"/>
  <c r="R61" i="4"/>
  <c r="T61" i="4"/>
  <c r="U61" i="4"/>
  <c r="S61" i="4"/>
  <c r="N61" i="4"/>
  <c r="V61" i="4"/>
  <c r="W61" i="4"/>
  <c r="O61" i="4"/>
  <c r="P61" i="4"/>
  <c r="Q61" i="4"/>
  <c r="H112" i="4"/>
  <c r="P56" i="23"/>
  <c r="Z56" i="23"/>
  <c r="Y56" i="23"/>
  <c r="X56" i="23"/>
  <c r="W56" i="23"/>
  <c r="V56" i="23"/>
  <c r="AD56" i="23"/>
  <c r="AC56" i="23"/>
  <c r="AB56" i="23"/>
  <c r="AA56" i="23"/>
  <c r="T56" i="23"/>
  <c r="S56" i="23"/>
  <c r="U56" i="23"/>
  <c r="Q56" i="23"/>
  <c r="M56" i="23"/>
  <c r="N56" i="23"/>
  <c r="O56" i="23"/>
  <c r="R56" i="23"/>
  <c r="H106" i="4"/>
  <c r="S54" i="4"/>
  <c r="Q54" i="4"/>
  <c r="N54" i="4"/>
  <c r="L54" i="4"/>
  <c r="M54" i="4"/>
  <c r="K54" i="4"/>
  <c r="U54" i="4"/>
  <c r="R54" i="4"/>
  <c r="V54" i="4"/>
  <c r="O54" i="4"/>
  <c r="T54" i="4"/>
  <c r="P54" i="4"/>
  <c r="H105" i="24"/>
  <c r="L53" i="24"/>
  <c r="P53" i="24"/>
  <c r="AD53" i="24"/>
  <c r="Z53" i="24"/>
  <c r="Y53" i="24"/>
  <c r="R53" i="24"/>
  <c r="V53" i="24"/>
  <c r="S53" i="24"/>
  <c r="Q53" i="24"/>
  <c r="N53" i="24"/>
  <c r="M53" i="24"/>
  <c r="AC53" i="24"/>
  <c r="T53" i="24"/>
  <c r="K53" i="24"/>
  <c r="AB53" i="24"/>
  <c r="X53" i="24"/>
  <c r="AA53" i="24"/>
  <c r="W53" i="24"/>
  <c r="O53" i="24"/>
  <c r="U53" i="24"/>
  <c r="S56" i="4"/>
  <c r="S161" i="4" s="1"/>
  <c r="N56" i="4"/>
  <c r="N161" i="4" s="1"/>
  <c r="P56" i="4"/>
  <c r="P161" i="4" s="1"/>
  <c r="L56" i="4"/>
  <c r="L161" i="4" s="1"/>
  <c r="V56" i="4"/>
  <c r="V161" i="4" s="1"/>
  <c r="R56" i="4"/>
  <c r="R161" i="4" s="1"/>
  <c r="T56" i="4"/>
  <c r="T161" i="4" s="1"/>
  <c r="K56" i="4"/>
  <c r="O56" i="4"/>
  <c r="O161" i="4" s="1"/>
  <c r="Q56" i="4"/>
  <c r="Q161" i="4" s="1"/>
  <c r="U56" i="4"/>
  <c r="U161" i="4" s="1"/>
  <c r="M56" i="4"/>
  <c r="M161" i="4" s="1"/>
  <c r="I119" i="4" l="1"/>
  <c r="R119" i="4"/>
  <c r="J119" i="4"/>
  <c r="W172" i="4"/>
  <c r="AB172" i="4"/>
  <c r="Y172" i="4"/>
  <c r="U172" i="4"/>
  <c r="T172" i="4"/>
  <c r="AC172" i="4"/>
  <c r="AC154" i="4" s="1"/>
  <c r="W91" i="25" s="1"/>
  <c r="Z172" i="4"/>
  <c r="V172" i="4"/>
  <c r="AA172" i="4"/>
  <c r="X172" i="4"/>
  <c r="AD172" i="4"/>
  <c r="AD154" i="4" s="1"/>
  <c r="X91" i="25" s="1"/>
  <c r="S172" i="4"/>
  <c r="J120" i="4"/>
  <c r="U173" i="4"/>
  <c r="S173" i="4"/>
  <c r="V173" i="4"/>
  <c r="AA173" i="4"/>
  <c r="Y173" i="4"/>
  <c r="W173" i="4"/>
  <c r="T173" i="4"/>
  <c r="Z173" i="4"/>
  <c r="X173" i="4"/>
  <c r="AB173" i="4"/>
  <c r="J122" i="4"/>
  <c r="AB175" i="4"/>
  <c r="Y175" i="4"/>
  <c r="T175" i="4"/>
  <c r="Z175" i="4"/>
  <c r="W175" i="4"/>
  <c r="U175" i="4"/>
  <c r="S175" i="4"/>
  <c r="X175" i="4"/>
  <c r="V175" i="4"/>
  <c r="AA175" i="4"/>
  <c r="I120" i="4"/>
  <c r="R120" i="4"/>
  <c r="I122" i="4"/>
  <c r="R122" i="4"/>
  <c r="R161" i="23"/>
  <c r="R108" i="23"/>
  <c r="O161" i="23"/>
  <c r="O108" i="23"/>
  <c r="N161" i="23"/>
  <c r="N108" i="23"/>
  <c r="M161" i="23"/>
  <c r="M108" i="23"/>
  <c r="L108" i="23"/>
  <c r="Q161" i="23"/>
  <c r="Q108" i="23"/>
  <c r="U161" i="23"/>
  <c r="U108" i="23"/>
  <c r="S161" i="23"/>
  <c r="S108" i="23"/>
  <c r="T161" i="23"/>
  <c r="T108" i="23"/>
  <c r="AA161" i="23"/>
  <c r="AA108" i="23"/>
  <c r="AB161" i="23"/>
  <c r="AB108" i="23"/>
  <c r="AC161" i="23"/>
  <c r="AC108" i="23"/>
  <c r="AD161" i="23"/>
  <c r="AD108" i="23"/>
  <c r="V161" i="23"/>
  <c r="V108" i="23"/>
  <c r="W161" i="23"/>
  <c r="W108" i="23"/>
  <c r="X161" i="23"/>
  <c r="X108" i="23"/>
  <c r="Y161" i="23"/>
  <c r="Y108" i="23"/>
  <c r="Z161" i="23"/>
  <c r="Z108" i="23"/>
  <c r="P161" i="23"/>
  <c r="P108" i="23"/>
  <c r="J106" i="4"/>
  <c r="W159" i="4"/>
  <c r="I106" i="23"/>
  <c r="L106" i="23"/>
  <c r="J106" i="23"/>
  <c r="M159" i="23"/>
  <c r="P159" i="23"/>
  <c r="V159" i="23"/>
  <c r="N159" i="23"/>
  <c r="T159" i="23"/>
  <c r="Q159" i="23"/>
  <c r="S159" i="23"/>
  <c r="U159" i="23"/>
  <c r="R159" i="23"/>
  <c r="AB159" i="23"/>
  <c r="AC159" i="23"/>
  <c r="AD159" i="23"/>
  <c r="W159" i="23"/>
  <c r="X159" i="23"/>
  <c r="Y159" i="23"/>
  <c r="Z159" i="23"/>
  <c r="AA159" i="23"/>
  <c r="O159" i="23"/>
  <c r="J104" i="4"/>
  <c r="W157" i="4"/>
  <c r="J104" i="23"/>
  <c r="W157" i="23"/>
  <c r="X157" i="23"/>
  <c r="Y157" i="23"/>
  <c r="Z157" i="23"/>
  <c r="AA157" i="23"/>
  <c r="AB157" i="23"/>
  <c r="AC157" i="23"/>
  <c r="AD157" i="23"/>
  <c r="U157" i="23"/>
  <c r="V157" i="23"/>
  <c r="O157" i="23"/>
  <c r="P157" i="23"/>
  <c r="Q157" i="23"/>
  <c r="R157" i="23"/>
  <c r="N157" i="23"/>
  <c r="K157" i="23"/>
  <c r="S157" i="23"/>
  <c r="L157" i="23"/>
  <c r="T157" i="23"/>
  <c r="M157" i="23"/>
  <c r="Q116" i="4"/>
  <c r="AC48" i="4"/>
  <c r="P118" i="4"/>
  <c r="Q118" i="4"/>
  <c r="M153" i="4"/>
  <c r="G90" i="25" s="1"/>
  <c r="G84" i="25" s="1"/>
  <c r="L153" i="4"/>
  <c r="F90" i="25" s="1"/>
  <c r="F84" i="25" s="1"/>
  <c r="N153" i="4"/>
  <c r="H90" i="25" s="1"/>
  <c r="V171" i="4"/>
  <c r="S171" i="4"/>
  <c r="R171" i="4"/>
  <c r="U171" i="4"/>
  <c r="T171" i="4"/>
  <c r="Q171" i="4"/>
  <c r="AD12" i="18"/>
  <c r="AE11" i="18"/>
  <c r="AE12" i="18" s="1"/>
  <c r="AC16" i="18"/>
  <c r="AD14" i="18"/>
  <c r="P68" i="25" s="1"/>
  <c r="R169" i="4"/>
  <c r="R116" i="4"/>
  <c r="R162" i="24"/>
  <c r="R109" i="24"/>
  <c r="AB169" i="4"/>
  <c r="AB116" i="4"/>
  <c r="U169" i="4"/>
  <c r="U116" i="4"/>
  <c r="X109" i="24"/>
  <c r="X162" i="24"/>
  <c r="W162" i="24"/>
  <c r="W109" i="24"/>
  <c r="X169" i="4"/>
  <c r="X116" i="4"/>
  <c r="Z109" i="24"/>
  <c r="Z162" i="24"/>
  <c r="V162" i="24"/>
  <c r="V109" i="24"/>
  <c r="W169" i="4"/>
  <c r="W116" i="4"/>
  <c r="Z169" i="4"/>
  <c r="Z116" i="4"/>
  <c r="I117" i="4"/>
  <c r="P117" i="4"/>
  <c r="T109" i="24"/>
  <c r="T162" i="24"/>
  <c r="Y169" i="4"/>
  <c r="Y116" i="4"/>
  <c r="AB109" i="24"/>
  <c r="AB162" i="24"/>
  <c r="AA169" i="4"/>
  <c r="AA116" i="4"/>
  <c r="AA162" i="24"/>
  <c r="AA109" i="24"/>
  <c r="AC162" i="24"/>
  <c r="AC109" i="24"/>
  <c r="T169" i="4"/>
  <c r="T116" i="4"/>
  <c r="S169" i="4"/>
  <c r="S116" i="4"/>
  <c r="J117" i="4"/>
  <c r="Z170" i="4"/>
  <c r="AB170" i="4"/>
  <c r="T170" i="4"/>
  <c r="R170" i="4"/>
  <c r="V170" i="4"/>
  <c r="S170" i="4"/>
  <c r="Q170" i="4"/>
  <c r="X170" i="4"/>
  <c r="U170" i="4"/>
  <c r="Y170" i="4"/>
  <c r="AA170" i="4"/>
  <c r="W170" i="4"/>
  <c r="I110" i="24"/>
  <c r="P110" i="24"/>
  <c r="AD169" i="4"/>
  <c r="AD116" i="4"/>
  <c r="S162" i="24"/>
  <c r="S109" i="24"/>
  <c r="Q169" i="4"/>
  <c r="P116" i="4"/>
  <c r="AC169" i="4"/>
  <c r="AC116" i="4"/>
  <c r="J110" i="24"/>
  <c r="AD163" i="24"/>
  <c r="AC163" i="24"/>
  <c r="W163" i="24"/>
  <c r="Y163" i="24"/>
  <c r="Q163" i="24"/>
  <c r="R163" i="24"/>
  <c r="Z163" i="24"/>
  <c r="S163" i="24"/>
  <c r="V163" i="24"/>
  <c r="T163" i="24"/>
  <c r="AB163" i="24"/>
  <c r="AA163" i="24"/>
  <c r="X163" i="24"/>
  <c r="U163" i="24"/>
  <c r="J118" i="4"/>
  <c r="Y171" i="4"/>
  <c r="AB171" i="4"/>
  <c r="X171" i="4"/>
  <c r="X153" i="4" s="1"/>
  <c r="R90" i="25" s="1"/>
  <c r="Z171" i="4"/>
  <c r="AD171" i="4"/>
  <c r="AC171" i="4"/>
  <c r="AC153" i="4" s="1"/>
  <c r="W90" i="25" s="1"/>
  <c r="AA171" i="4"/>
  <c r="AA153" i="4" s="1"/>
  <c r="U90" i="25" s="1"/>
  <c r="W171" i="4"/>
  <c r="Q162" i="24"/>
  <c r="Q109" i="24"/>
  <c r="P109" i="24"/>
  <c r="U162" i="24"/>
  <c r="U109" i="24"/>
  <c r="Y109" i="24"/>
  <c r="Y162" i="24"/>
  <c r="AD162" i="24"/>
  <c r="AD109" i="24"/>
  <c r="V169" i="4"/>
  <c r="V116" i="4"/>
  <c r="I118" i="4"/>
  <c r="V118" i="4"/>
  <c r="W165" i="4"/>
  <c r="R159" i="4"/>
  <c r="N159" i="4"/>
  <c r="T159" i="4"/>
  <c r="Q159" i="4"/>
  <c r="O159" i="4"/>
  <c r="V159" i="4"/>
  <c r="V165" i="4"/>
  <c r="K159" i="4"/>
  <c r="K155" i="4" s="1"/>
  <c r="E92" i="25" s="1"/>
  <c r="N165" i="4"/>
  <c r="S159" i="4"/>
  <c r="AB165" i="4"/>
  <c r="U159" i="4"/>
  <c r="M159" i="4"/>
  <c r="M155" i="4" s="1"/>
  <c r="G92" i="25" s="1"/>
  <c r="P159" i="4"/>
  <c r="L159" i="4"/>
  <c r="L155" i="4" s="1"/>
  <c r="F92" i="25" s="1"/>
  <c r="Z166" i="4"/>
  <c r="W166" i="4"/>
  <c r="X166" i="4"/>
  <c r="O166" i="4"/>
  <c r="Y166" i="4"/>
  <c r="P166" i="4"/>
  <c r="N166" i="4"/>
  <c r="U166" i="4"/>
  <c r="S166" i="4"/>
  <c r="R166" i="4"/>
  <c r="T166" i="4"/>
  <c r="AC166" i="4"/>
  <c r="AC156" i="4" s="1"/>
  <c r="W93" i="25" s="1"/>
  <c r="AB166" i="4"/>
  <c r="AA166" i="4"/>
  <c r="V166" i="4"/>
  <c r="AD166" i="4"/>
  <c r="AD156" i="4" s="1"/>
  <c r="X93" i="25" s="1"/>
  <c r="Q166" i="4"/>
  <c r="AC152" i="23"/>
  <c r="W95" i="25" s="1"/>
  <c r="T160" i="4"/>
  <c r="R160" i="4"/>
  <c r="V160" i="4"/>
  <c r="M160" i="4"/>
  <c r="M156" i="4" s="1"/>
  <c r="G93" i="25" s="1"/>
  <c r="P160" i="4"/>
  <c r="N160" i="4"/>
  <c r="L160" i="4"/>
  <c r="L156" i="4" s="1"/>
  <c r="F93" i="25" s="1"/>
  <c r="Q160" i="4"/>
  <c r="U160" i="4"/>
  <c r="S160" i="4"/>
  <c r="O160" i="4"/>
  <c r="K160" i="4"/>
  <c r="K156" i="4" s="1"/>
  <c r="E93" i="25" s="1"/>
  <c r="O152" i="23"/>
  <c r="I95" i="25" s="1"/>
  <c r="Y152" i="23"/>
  <c r="S95" i="25" s="1"/>
  <c r="R152" i="23"/>
  <c r="L95" i="25" s="1"/>
  <c r="Z165" i="4"/>
  <c r="S165" i="4"/>
  <c r="P152" i="23"/>
  <c r="J95" i="25" s="1"/>
  <c r="N152" i="23"/>
  <c r="H95" i="25" s="1"/>
  <c r="AA165" i="4"/>
  <c r="W152" i="23"/>
  <c r="Q95" i="25" s="1"/>
  <c r="AD152" i="23"/>
  <c r="X95" i="25" s="1"/>
  <c r="Q165" i="4"/>
  <c r="T165" i="4"/>
  <c r="T152" i="23"/>
  <c r="N95" i="25" s="1"/>
  <c r="AB152" i="23"/>
  <c r="V95" i="25" s="1"/>
  <c r="AD165" i="4"/>
  <c r="V152" i="23"/>
  <c r="P95" i="25" s="1"/>
  <c r="AC165" i="4"/>
  <c r="K161" i="4"/>
  <c r="K153" i="4" s="1"/>
  <c r="E90" i="25" s="1"/>
  <c r="E84" i="25" s="1"/>
  <c r="P165" i="4"/>
  <c r="R165" i="4"/>
  <c r="Q152" i="23"/>
  <c r="K95" i="25" s="1"/>
  <c r="Z152" i="23"/>
  <c r="T95" i="25" s="1"/>
  <c r="Y165" i="4"/>
  <c r="X152" i="23"/>
  <c r="R95" i="25" s="1"/>
  <c r="AA152" i="23"/>
  <c r="U95" i="25" s="1"/>
  <c r="AF11" i="18"/>
  <c r="U165" i="4"/>
  <c r="O165" i="4"/>
  <c r="X165" i="4"/>
  <c r="U152" i="23"/>
  <c r="O95" i="25" s="1"/>
  <c r="S152" i="23"/>
  <c r="M95" i="25" s="1"/>
  <c r="AB112" i="4"/>
  <c r="Z112" i="4"/>
  <c r="AA112" i="4"/>
  <c r="AC112" i="4"/>
  <c r="AD112" i="4"/>
  <c r="Y112" i="4"/>
  <c r="U112" i="4"/>
  <c r="S112" i="4"/>
  <c r="T112" i="4"/>
  <c r="Y105" i="24"/>
  <c r="Y102" i="24" s="1"/>
  <c r="S79" i="25" s="1"/>
  <c r="Y158" i="24"/>
  <c r="Y48" i="24"/>
  <c r="U158" i="24"/>
  <c r="U105" i="24"/>
  <c r="U48" i="24"/>
  <c r="X112" i="4"/>
  <c r="L30" i="18"/>
  <c r="AD158" i="24"/>
  <c r="AD105" i="24"/>
  <c r="AD48" i="24"/>
  <c r="W102" i="23"/>
  <c r="Q78" i="25" s="1"/>
  <c r="X102" i="23"/>
  <c r="R78" i="25" s="1"/>
  <c r="X48" i="23"/>
  <c r="X46" i="23" s="1"/>
  <c r="P158" i="24"/>
  <c r="P105" i="24"/>
  <c r="P48" i="24"/>
  <c r="Y102" i="23"/>
  <c r="S78" i="25" s="1"/>
  <c r="Y48" i="23"/>
  <c r="Y46" i="23" s="1"/>
  <c r="AA105" i="24"/>
  <c r="AA158" i="24"/>
  <c r="AA48" i="24"/>
  <c r="X158" i="24"/>
  <c r="X105" i="24"/>
  <c r="X48" i="24"/>
  <c r="P102" i="23"/>
  <c r="J78" i="25" s="1"/>
  <c r="P48" i="23"/>
  <c r="P46" i="23" s="1"/>
  <c r="AB158" i="24"/>
  <c r="AB105" i="24"/>
  <c r="AB48" i="24"/>
  <c r="P106" i="4"/>
  <c r="M102" i="23"/>
  <c r="G78" i="25" s="1"/>
  <c r="M48" i="23"/>
  <c r="M46" i="23" s="1"/>
  <c r="I113" i="4"/>
  <c r="M113" i="4"/>
  <c r="V158" i="24"/>
  <c r="V105" i="24"/>
  <c r="V48" i="24"/>
  <c r="J103" i="24"/>
  <c r="Q156" i="24"/>
  <c r="L156" i="24"/>
  <c r="K156" i="24"/>
  <c r="N156" i="24"/>
  <c r="P156" i="24"/>
  <c r="M156" i="24"/>
  <c r="AB156" i="24"/>
  <c r="V156" i="24"/>
  <c r="O156" i="24"/>
  <c r="W156" i="24"/>
  <c r="Z156" i="24"/>
  <c r="AD156" i="24"/>
  <c r="Y156" i="24"/>
  <c r="U156" i="24"/>
  <c r="T156" i="24"/>
  <c r="S156" i="24"/>
  <c r="R156" i="24"/>
  <c r="AA156" i="24"/>
  <c r="X156" i="24"/>
  <c r="AC156" i="24"/>
  <c r="O102" i="23"/>
  <c r="I78" i="25" s="1"/>
  <c r="O48" i="23"/>
  <c r="O46" i="23" s="1"/>
  <c r="M106" i="4"/>
  <c r="AD102" i="23"/>
  <c r="X78" i="25" s="1"/>
  <c r="AD48" i="23"/>
  <c r="AD46" i="23" s="1"/>
  <c r="N106" i="4"/>
  <c r="S106" i="4"/>
  <c r="N102" i="23"/>
  <c r="H78" i="25" s="1"/>
  <c r="N48" i="23"/>
  <c r="N46" i="23" s="1"/>
  <c r="T106" i="4"/>
  <c r="U102" i="23"/>
  <c r="O78" i="25" s="1"/>
  <c r="U48" i="23"/>
  <c r="U46" i="23" s="1"/>
  <c r="J113" i="4"/>
  <c r="Q106" i="4"/>
  <c r="AC158" i="24"/>
  <c r="AC105" i="24"/>
  <c r="AC48" i="24"/>
  <c r="L106" i="4"/>
  <c r="V102" i="23"/>
  <c r="P78" i="25" s="1"/>
  <c r="V48" i="23"/>
  <c r="V46" i="23" s="1"/>
  <c r="W158" i="24"/>
  <c r="W105" i="24"/>
  <c r="W48" i="24"/>
  <c r="R102" i="23"/>
  <c r="L78" i="25" s="1"/>
  <c r="R48" i="23"/>
  <c r="R46" i="23" s="1"/>
  <c r="K105" i="24"/>
  <c r="K102" i="24" s="1"/>
  <c r="E79" i="25" s="1"/>
  <c r="K158" i="24"/>
  <c r="K48" i="24"/>
  <c r="Q102" i="23"/>
  <c r="K78" i="25" s="1"/>
  <c r="Q48" i="23"/>
  <c r="Q46" i="23" s="1"/>
  <c r="Q112" i="4"/>
  <c r="S158" i="24"/>
  <c r="S105" i="24"/>
  <c r="S48" i="24"/>
  <c r="AC102" i="23"/>
  <c r="W78" i="25" s="1"/>
  <c r="AC48" i="23"/>
  <c r="AC46" i="23" s="1"/>
  <c r="R112" i="4"/>
  <c r="Z158" i="24"/>
  <c r="Z105" i="24"/>
  <c r="Z48" i="24"/>
  <c r="W48" i="23"/>
  <c r="W46" i="23" s="1"/>
  <c r="O158" i="24"/>
  <c r="O105" i="24"/>
  <c r="O102" i="24" s="1"/>
  <c r="I79" i="25" s="1"/>
  <c r="O48" i="24"/>
  <c r="L158" i="24"/>
  <c r="L105" i="24"/>
  <c r="L102" i="24" s="1"/>
  <c r="F79" i="25" s="1"/>
  <c r="L48" i="24"/>
  <c r="Z102" i="23"/>
  <c r="T78" i="25" s="1"/>
  <c r="Z48" i="23"/>
  <c r="Z46" i="23" s="1"/>
  <c r="J103" i="23"/>
  <c r="M156" i="23"/>
  <c r="Q156" i="23"/>
  <c r="U156" i="23"/>
  <c r="O156" i="23"/>
  <c r="R156" i="23"/>
  <c r="K156" i="23"/>
  <c r="N156" i="23"/>
  <c r="S156" i="23"/>
  <c r="V156" i="23"/>
  <c r="P156" i="23"/>
  <c r="L156" i="23"/>
  <c r="T156" i="23"/>
  <c r="T158" i="24"/>
  <c r="T105" i="24"/>
  <c r="T102" i="24" s="1"/>
  <c r="N79" i="25" s="1"/>
  <c r="T48" i="24"/>
  <c r="O106" i="4"/>
  <c r="P112" i="4"/>
  <c r="V106" i="4"/>
  <c r="S102" i="23"/>
  <c r="M78" i="25" s="1"/>
  <c r="S48" i="23"/>
  <c r="S46" i="23" s="1"/>
  <c r="O112" i="4"/>
  <c r="J107" i="4"/>
  <c r="M158" i="24"/>
  <c r="M105" i="24"/>
  <c r="M102" i="24" s="1"/>
  <c r="G79" i="25" s="1"/>
  <c r="M48" i="24"/>
  <c r="R106" i="4"/>
  <c r="T102" i="23"/>
  <c r="N78" i="25" s="1"/>
  <c r="T48" i="23"/>
  <c r="T46" i="23" s="1"/>
  <c r="W112" i="4"/>
  <c r="J106" i="24"/>
  <c r="AB159" i="24"/>
  <c r="Y159" i="24"/>
  <c r="Z159" i="24"/>
  <c r="T159" i="24"/>
  <c r="AD159" i="24"/>
  <c r="M159" i="24"/>
  <c r="S159" i="24"/>
  <c r="W159" i="24"/>
  <c r="X159" i="24"/>
  <c r="AC159" i="24"/>
  <c r="V159" i="24"/>
  <c r="Q159" i="24"/>
  <c r="U159" i="24"/>
  <c r="AA159" i="24"/>
  <c r="K159" i="24"/>
  <c r="N159" i="24"/>
  <c r="R159" i="24"/>
  <c r="L159" i="24"/>
  <c r="P159" i="24"/>
  <c r="O159" i="24"/>
  <c r="N158" i="24"/>
  <c r="N105" i="24"/>
  <c r="N102" i="24" s="1"/>
  <c r="H79" i="25" s="1"/>
  <c r="N48" i="24"/>
  <c r="U106" i="4"/>
  <c r="AA102" i="23"/>
  <c r="U78" i="25" s="1"/>
  <c r="AA48" i="23"/>
  <c r="AA46" i="23" s="1"/>
  <c r="V112" i="4"/>
  <c r="R158" i="24"/>
  <c r="R105" i="24"/>
  <c r="R48" i="24"/>
  <c r="Q158" i="24"/>
  <c r="Q105" i="24"/>
  <c r="Q48" i="24"/>
  <c r="K106" i="4"/>
  <c r="AB102" i="23"/>
  <c r="V78" i="25" s="1"/>
  <c r="AB48" i="23"/>
  <c r="AB46" i="23" s="1"/>
  <c r="N112" i="4"/>
  <c r="M112" i="4"/>
  <c r="R108" i="4"/>
  <c r="N108" i="4"/>
  <c r="M108" i="4"/>
  <c r="V108" i="4"/>
  <c r="L108" i="4"/>
  <c r="P108" i="4"/>
  <c r="S108" i="4"/>
  <c r="Q108" i="4"/>
  <c r="K108" i="4"/>
  <c r="U108" i="4"/>
  <c r="O108" i="4"/>
  <c r="T108" i="4"/>
  <c r="AB60" i="4"/>
  <c r="AB48" i="4" s="1"/>
  <c r="AA60" i="4"/>
  <c r="AA48" i="4" s="1"/>
  <c r="Z60" i="4"/>
  <c r="Z48" i="4" s="1"/>
  <c r="Y60" i="4"/>
  <c r="Y48" i="4" s="1"/>
  <c r="W60" i="4"/>
  <c r="W48" i="4" s="1"/>
  <c r="O60" i="4"/>
  <c r="O164" i="4" s="1"/>
  <c r="T60" i="4"/>
  <c r="T164" i="4" s="1"/>
  <c r="S60" i="4"/>
  <c r="S164" i="4" s="1"/>
  <c r="R60" i="4"/>
  <c r="R164" i="4" s="1"/>
  <c r="Q60" i="4"/>
  <c r="Q164" i="4" s="1"/>
  <c r="V60" i="4"/>
  <c r="V164" i="4" s="1"/>
  <c r="N60" i="4"/>
  <c r="N164" i="4" s="1"/>
  <c r="U60" i="4"/>
  <c r="U164" i="4" s="1"/>
  <c r="X60" i="4"/>
  <c r="X48" i="4" s="1"/>
  <c r="P60" i="4"/>
  <c r="P164" i="4" s="1"/>
  <c r="L25" i="18"/>
  <c r="L24" i="18"/>
  <c r="L21" i="18"/>
  <c r="L29" i="18"/>
  <c r="L28" i="18"/>
  <c r="L26" i="18"/>
  <c r="L22" i="18"/>
  <c r="L20" i="18"/>
  <c r="L23" i="18"/>
  <c r="L27" i="18"/>
  <c r="Y153" i="4" l="1"/>
  <c r="S90" i="25" s="1"/>
  <c r="W153" i="4"/>
  <c r="Q90" i="25" s="1"/>
  <c r="Q84" i="25" s="1"/>
  <c r="AD153" i="4"/>
  <c r="X90" i="25" s="1"/>
  <c r="X84" i="25" s="1"/>
  <c r="AB153" i="4"/>
  <c r="V90" i="25" s="1"/>
  <c r="V84" i="25" s="1"/>
  <c r="Z153" i="4"/>
  <c r="T90" i="25" s="1"/>
  <c r="T84" i="25" s="1"/>
  <c r="Q102" i="24"/>
  <c r="K79" i="25" s="1"/>
  <c r="V102" i="24"/>
  <c r="P79" i="25" s="1"/>
  <c r="AA102" i="24"/>
  <c r="U79" i="25" s="1"/>
  <c r="Z156" i="4"/>
  <c r="T93" i="25" s="1"/>
  <c r="AF12" i="18"/>
  <c r="AG11" i="18"/>
  <c r="X102" i="24"/>
  <c r="R79" i="25" s="1"/>
  <c r="AD155" i="4"/>
  <c r="X92" i="25" s="1"/>
  <c r="R155" i="4"/>
  <c r="L92" i="25" s="1"/>
  <c r="AC103" i="4"/>
  <c r="W77" i="25" s="1"/>
  <c r="AD16" i="18"/>
  <c r="AE14" i="18"/>
  <c r="Q68" i="25" s="1"/>
  <c r="AA156" i="4"/>
  <c r="U93" i="25" s="1"/>
  <c r="S102" i="24"/>
  <c r="M79" i="25" s="1"/>
  <c r="U102" i="24"/>
  <c r="O79" i="25" s="1"/>
  <c r="T156" i="4"/>
  <c r="N93" i="25" s="1"/>
  <c r="AA155" i="4"/>
  <c r="U92" i="25" s="1"/>
  <c r="Z102" i="24"/>
  <c r="T79" i="25" s="1"/>
  <c r="P102" i="24"/>
  <c r="J79" i="25" s="1"/>
  <c r="AB102" i="24"/>
  <c r="V79" i="25" s="1"/>
  <c r="AD102" i="24"/>
  <c r="X79" i="25" s="1"/>
  <c r="W84" i="25"/>
  <c r="N155" i="4"/>
  <c r="H92" i="25" s="1"/>
  <c r="R102" i="24"/>
  <c r="L79" i="25" s="1"/>
  <c r="W102" i="24"/>
  <c r="Q79" i="25" s="1"/>
  <c r="V155" i="4"/>
  <c r="P92" i="25" s="1"/>
  <c r="S155" i="4"/>
  <c r="M92" i="25" s="1"/>
  <c r="T155" i="4"/>
  <c r="N92" i="25" s="1"/>
  <c r="Z155" i="4"/>
  <c r="T92" i="25" s="1"/>
  <c r="W156" i="4"/>
  <c r="Q93" i="25" s="1"/>
  <c r="AC102" i="24"/>
  <c r="W79" i="25" s="1"/>
  <c r="W155" i="4"/>
  <c r="Q92" i="25" s="1"/>
  <c r="U84" i="25"/>
  <c r="AC155" i="4"/>
  <c r="W92" i="25" s="1"/>
  <c r="R84" i="25"/>
  <c r="Y155" i="4"/>
  <c r="S92" i="25" s="1"/>
  <c r="AB156" i="4"/>
  <c r="V93" i="25" s="1"/>
  <c r="Y156" i="4"/>
  <c r="S93" i="25" s="1"/>
  <c r="R156" i="4"/>
  <c r="L93" i="25" s="1"/>
  <c r="AB155" i="4"/>
  <c r="V92" i="25" s="1"/>
  <c r="S84" i="25"/>
  <c r="AD103" i="4"/>
  <c r="X77" i="25" s="1"/>
  <c r="X155" i="4"/>
  <c r="R92" i="25" s="1"/>
  <c r="X156" i="4"/>
  <c r="R93" i="25" s="1"/>
  <c r="O155" i="4"/>
  <c r="I92" i="25" s="1"/>
  <c r="U155" i="4"/>
  <c r="O92" i="25" s="1"/>
  <c r="Q155" i="4"/>
  <c r="K92" i="25" s="1"/>
  <c r="P155" i="4"/>
  <c r="J92" i="25" s="1"/>
  <c r="O156" i="4"/>
  <c r="I93" i="25" s="1"/>
  <c r="V156" i="4"/>
  <c r="P93" i="25" s="1"/>
  <c r="AA153" i="23"/>
  <c r="U96" i="25" s="1"/>
  <c r="P153" i="23"/>
  <c r="J96" i="25" s="1"/>
  <c r="W153" i="23"/>
  <c r="Q96" i="25" s="1"/>
  <c r="Q156" i="4"/>
  <c r="K93" i="25" s="1"/>
  <c r="S156" i="4"/>
  <c r="M93" i="25" s="1"/>
  <c r="K60" i="25"/>
  <c r="K67" i="25" s="1"/>
  <c r="AW16" i="23"/>
  <c r="AW17" i="23" s="1"/>
  <c r="K153" i="23"/>
  <c r="E96" i="25" s="1"/>
  <c r="U154" i="23"/>
  <c r="O97" i="25" s="1"/>
  <c r="Y153" i="24"/>
  <c r="S101" i="25" s="1"/>
  <c r="Y164" i="4"/>
  <c r="Y154" i="4" s="1"/>
  <c r="S91" i="25" s="1"/>
  <c r="AD153" i="24"/>
  <c r="X101" i="25" s="1"/>
  <c r="Z164" i="4"/>
  <c r="Z154" i="4" s="1"/>
  <c r="T91" i="25" s="1"/>
  <c r="AB154" i="23"/>
  <c r="V97" i="25" s="1"/>
  <c r="R154" i="24"/>
  <c r="L102" i="25" s="1"/>
  <c r="AA155" i="24"/>
  <c r="U103" i="25" s="1"/>
  <c r="M154" i="24"/>
  <c r="G102" i="25" s="1"/>
  <c r="Z153" i="24"/>
  <c r="T101" i="25" s="1"/>
  <c r="R60" i="25"/>
  <c r="AW30" i="23"/>
  <c r="AW31" i="23" s="1"/>
  <c r="AG12" i="18"/>
  <c r="AA164" i="4"/>
  <c r="AA154" i="4" s="1"/>
  <c r="U91" i="25" s="1"/>
  <c r="N154" i="24"/>
  <c r="H102" i="25" s="1"/>
  <c r="U155" i="24"/>
  <c r="O103" i="25" s="1"/>
  <c r="AD155" i="24"/>
  <c r="X103" i="25" s="1"/>
  <c r="X88" i="25" s="1"/>
  <c r="AW22" i="23"/>
  <c r="AW23" i="23" s="1"/>
  <c r="N60" i="25"/>
  <c r="N67" i="25" s="1"/>
  <c r="Q60" i="25"/>
  <c r="Q67" i="25" s="1"/>
  <c r="AW28" i="23"/>
  <c r="AW29" i="23" s="1"/>
  <c r="AC154" i="23"/>
  <c r="W97" i="25" s="1"/>
  <c r="W154" i="24"/>
  <c r="Q102" i="25" s="1"/>
  <c r="AC154" i="24"/>
  <c r="W102" i="25" s="1"/>
  <c r="R153" i="23"/>
  <c r="L96" i="25" s="1"/>
  <c r="Y153" i="23"/>
  <c r="S96" i="25" s="1"/>
  <c r="AD154" i="23"/>
  <c r="X97" i="25" s="1"/>
  <c r="AA153" i="24"/>
  <c r="U101" i="25" s="1"/>
  <c r="W153" i="24"/>
  <c r="Q101" i="25" s="1"/>
  <c r="L153" i="24"/>
  <c r="F101" i="25" s="1"/>
  <c r="M154" i="23"/>
  <c r="G97" i="25" s="1"/>
  <c r="Y154" i="23"/>
  <c r="S97" i="25" s="1"/>
  <c r="U156" i="4"/>
  <c r="O93" i="25" s="1"/>
  <c r="W164" i="4"/>
  <c r="W154" i="4" s="1"/>
  <c r="Q91" i="25" s="1"/>
  <c r="V60" i="25"/>
  <c r="AW38" i="23"/>
  <c r="AW39" i="23" s="1"/>
  <c r="N155" i="24"/>
  <c r="H103" i="25" s="1"/>
  <c r="L153" i="23"/>
  <c r="F96" i="25" s="1"/>
  <c r="P153" i="24"/>
  <c r="J101" i="25" s="1"/>
  <c r="AD154" i="24"/>
  <c r="X102" i="25" s="1"/>
  <c r="K155" i="24"/>
  <c r="E103" i="25" s="1"/>
  <c r="E88" i="25" s="1"/>
  <c r="Q154" i="23"/>
  <c r="K97" i="25" s="1"/>
  <c r="N153" i="24"/>
  <c r="H101" i="25" s="1"/>
  <c r="T60" i="25"/>
  <c r="AW34" i="23"/>
  <c r="AW35" i="23" s="1"/>
  <c r="O154" i="24"/>
  <c r="I102" i="25" s="1"/>
  <c r="V153" i="23"/>
  <c r="P96" i="25" s="1"/>
  <c r="K153" i="24"/>
  <c r="E101" i="25" s="1"/>
  <c r="AW36" i="23"/>
  <c r="AW37" i="23" s="1"/>
  <c r="U60" i="25"/>
  <c r="O155" i="24"/>
  <c r="I103" i="25" s="1"/>
  <c r="T155" i="24"/>
  <c r="N103" i="25" s="1"/>
  <c r="M153" i="23"/>
  <c r="G96" i="25" s="1"/>
  <c r="X154" i="23"/>
  <c r="R97" i="25" s="1"/>
  <c r="AA154" i="23"/>
  <c r="U97" i="25" s="1"/>
  <c r="P155" i="24"/>
  <c r="J103" i="25" s="1"/>
  <c r="V155" i="24"/>
  <c r="P103" i="25" s="1"/>
  <c r="Z155" i="24"/>
  <c r="T103" i="25" s="1"/>
  <c r="T154" i="23"/>
  <c r="N97" i="25" s="1"/>
  <c r="N153" i="23"/>
  <c r="H96" i="25" s="1"/>
  <c r="X153" i="23"/>
  <c r="R96" i="25" s="1"/>
  <c r="N154" i="23"/>
  <c r="H97" i="25" s="1"/>
  <c r="S153" i="24"/>
  <c r="M101" i="25" s="1"/>
  <c r="V153" i="24"/>
  <c r="P101" i="25" s="1"/>
  <c r="X154" i="24"/>
  <c r="R102" i="25" s="1"/>
  <c r="W155" i="24"/>
  <c r="Q103" i="25" s="1"/>
  <c r="V154" i="24"/>
  <c r="P102" i="25" s="1"/>
  <c r="J60" i="25"/>
  <c r="J67" i="25" s="1"/>
  <c r="AW14" i="23"/>
  <c r="AW15" i="23" s="1"/>
  <c r="Y154" i="24"/>
  <c r="S102" i="25" s="1"/>
  <c r="H84" i="25"/>
  <c r="X60" i="25"/>
  <c r="AW42" i="23"/>
  <c r="L102" i="23"/>
  <c r="F78" i="25" s="1"/>
  <c r="T154" i="24"/>
  <c r="N102" i="25" s="1"/>
  <c r="Z154" i="23"/>
  <c r="T97" i="25" s="1"/>
  <c r="W154" i="23"/>
  <c r="Q97" i="25" s="1"/>
  <c r="P60" i="25"/>
  <c r="P67" i="25" s="1"/>
  <c r="AW26" i="23"/>
  <c r="AW27" i="23" s="1"/>
  <c r="Z153" i="23"/>
  <c r="T96" i="25" s="1"/>
  <c r="R153" i="24"/>
  <c r="L101" i="25" s="1"/>
  <c r="O153" i="24"/>
  <c r="I101" i="25" s="1"/>
  <c r="Q153" i="24"/>
  <c r="K101" i="25" s="1"/>
  <c r="L155" i="24"/>
  <c r="F103" i="25" s="1"/>
  <c r="F88" i="25" s="1"/>
  <c r="Y155" i="24"/>
  <c r="S103" i="25" s="1"/>
  <c r="S154" i="23"/>
  <c r="M97" i="25" s="1"/>
  <c r="S154" i="24"/>
  <c r="M102" i="25" s="1"/>
  <c r="L60" i="25"/>
  <c r="L67" i="25" s="1"/>
  <c r="AW18" i="23"/>
  <c r="AW19" i="23" s="1"/>
  <c r="V154" i="23"/>
  <c r="P97" i="25" s="1"/>
  <c r="U153" i="23"/>
  <c r="O96" i="25" s="1"/>
  <c r="S153" i="23"/>
  <c r="M96" i="25" s="1"/>
  <c r="I60" i="25"/>
  <c r="I67" i="25" s="1"/>
  <c r="AW12" i="23"/>
  <c r="AW13" i="23" s="1"/>
  <c r="T153" i="24"/>
  <c r="N101" i="25" s="1"/>
  <c r="AB153" i="24"/>
  <c r="V101" i="25" s="1"/>
  <c r="P154" i="24"/>
  <c r="J102" i="25" s="1"/>
  <c r="U154" i="24"/>
  <c r="O102" i="25" s="1"/>
  <c r="N156" i="4"/>
  <c r="H93" i="25" s="1"/>
  <c r="AB153" i="23"/>
  <c r="V96" i="25" s="1"/>
  <c r="O154" i="23"/>
  <c r="I97" i="25" s="1"/>
  <c r="AW8" i="23"/>
  <c r="AW9" i="23" s="1"/>
  <c r="G60" i="25"/>
  <c r="G67" i="25" s="1"/>
  <c r="S155" i="24"/>
  <c r="M103" i="25" s="1"/>
  <c r="W60" i="25"/>
  <c r="AW40" i="23"/>
  <c r="AW41" i="23" s="1"/>
  <c r="O153" i="23"/>
  <c r="I96" i="25" s="1"/>
  <c r="AD153" i="23"/>
  <c r="X96" i="25" s="1"/>
  <c r="AC153" i="24"/>
  <c r="W101" i="25" s="1"/>
  <c r="S60" i="25"/>
  <c r="AW32" i="23"/>
  <c r="AW33" i="23" s="1"/>
  <c r="M155" i="24"/>
  <c r="G103" i="25" s="1"/>
  <c r="G88" i="25" s="1"/>
  <c r="X153" i="24"/>
  <c r="R101" i="25" s="1"/>
  <c r="P154" i="23"/>
  <c r="J97" i="25" s="1"/>
  <c r="AB164" i="4"/>
  <c r="AB154" i="4" s="1"/>
  <c r="V91" i="25" s="1"/>
  <c r="Q155" i="24"/>
  <c r="K103" i="25" s="1"/>
  <c r="AW20" i="23"/>
  <c r="AW21" i="23" s="1"/>
  <c r="M60" i="25"/>
  <c r="M67" i="25" s="1"/>
  <c r="K154" i="24"/>
  <c r="E102" i="25" s="1"/>
  <c r="E87" i="25" s="1"/>
  <c r="AW10" i="23"/>
  <c r="AW11" i="23" s="1"/>
  <c r="H60" i="25"/>
  <c r="H67" i="25" s="1"/>
  <c r="AC155" i="24"/>
  <c r="W103" i="25" s="1"/>
  <c r="W88" i="25" s="1"/>
  <c r="X164" i="4"/>
  <c r="X154" i="4" s="1"/>
  <c r="R91" i="25" s="1"/>
  <c r="Q154" i="24"/>
  <c r="K102" i="25" s="1"/>
  <c r="R155" i="24"/>
  <c r="L103" i="25" s="1"/>
  <c r="X155" i="24"/>
  <c r="R103" i="25" s="1"/>
  <c r="AB155" i="24"/>
  <c r="V103" i="25" s="1"/>
  <c r="L154" i="24"/>
  <c r="F102" i="25" s="1"/>
  <c r="F87" i="25" s="1"/>
  <c r="Z154" i="24"/>
  <c r="T102" i="25" s="1"/>
  <c r="R154" i="23"/>
  <c r="L97" i="25" s="1"/>
  <c r="Q153" i="23"/>
  <c r="K96" i="25" s="1"/>
  <c r="T153" i="23"/>
  <c r="N96" i="25" s="1"/>
  <c r="AC153" i="23"/>
  <c r="W96" i="25" s="1"/>
  <c r="AW24" i="23"/>
  <c r="AW25" i="23" s="1"/>
  <c r="O60" i="25"/>
  <c r="O67" i="25" s="1"/>
  <c r="U153" i="24"/>
  <c r="O101" i="25" s="1"/>
  <c r="M153" i="24"/>
  <c r="G101" i="25" s="1"/>
  <c r="AB154" i="24"/>
  <c r="V102" i="25" s="1"/>
  <c r="AA154" i="24"/>
  <c r="U102" i="25" s="1"/>
  <c r="P156" i="4"/>
  <c r="J93" i="25" s="1"/>
  <c r="W51" i="25"/>
  <c r="AC46" i="4"/>
  <c r="W59" i="25" s="1"/>
  <c r="X51" i="25"/>
  <c r="AD46" i="4"/>
  <c r="X59" i="25" s="1"/>
  <c r="L103" i="4"/>
  <c r="F77" i="25" s="1"/>
  <c r="K103" i="4"/>
  <c r="E77" i="25" s="1"/>
  <c r="E76" i="25" s="1"/>
  <c r="L52" i="25"/>
  <c r="AV18" i="23"/>
  <c r="AV19" i="23" s="1"/>
  <c r="AV28" i="24"/>
  <c r="AV29" i="24" s="1"/>
  <c r="Q53" i="25"/>
  <c r="AV22" i="23"/>
  <c r="AV23" i="23" s="1"/>
  <c r="N52" i="25"/>
  <c r="AV34" i="23"/>
  <c r="AV35" i="23" s="1"/>
  <c r="T52" i="25"/>
  <c r="J53" i="25"/>
  <c r="AV14" i="24"/>
  <c r="AV15" i="24" s="1"/>
  <c r="AV38" i="23"/>
  <c r="AV39" i="23" s="1"/>
  <c r="V52" i="25"/>
  <c r="W52" i="25"/>
  <c r="AV40" i="23"/>
  <c r="AV41" i="23" s="1"/>
  <c r="U52" i="25"/>
  <c r="AV36" i="23"/>
  <c r="AV37" i="23" s="1"/>
  <c r="AV10" i="23"/>
  <c r="AV11" i="23" s="1"/>
  <c r="H52" i="25"/>
  <c r="I53" i="25"/>
  <c r="AV12" i="24"/>
  <c r="AV13" i="24" s="1"/>
  <c r="AV30" i="23"/>
  <c r="AV31" i="23" s="1"/>
  <c r="R52" i="25"/>
  <c r="AV32" i="24"/>
  <c r="AV33" i="24" s="1"/>
  <c r="S53" i="25"/>
  <c r="H53" i="25"/>
  <c r="AV10" i="24"/>
  <c r="AV11" i="24" s="1"/>
  <c r="M52" i="25"/>
  <c r="AV20" i="23"/>
  <c r="AV21" i="23" s="1"/>
  <c r="R53" i="25"/>
  <c r="AV30" i="24"/>
  <c r="AV31" i="24" s="1"/>
  <c r="K52" i="25"/>
  <c r="AV16" i="23"/>
  <c r="AV17" i="23" s="1"/>
  <c r="M53" i="25"/>
  <c r="AV20" i="24"/>
  <c r="AV21" i="24" s="1"/>
  <c r="AV14" i="23"/>
  <c r="AV15" i="23" s="1"/>
  <c r="J52" i="25"/>
  <c r="AV28" i="23"/>
  <c r="AV29" i="23" s="1"/>
  <c r="Q52" i="25"/>
  <c r="W53" i="25"/>
  <c r="AV40" i="24"/>
  <c r="AV41" i="24" s="1"/>
  <c r="P53" i="25"/>
  <c r="AV26" i="24"/>
  <c r="AV27" i="24" s="1"/>
  <c r="F53" i="25"/>
  <c r="AV6" i="24"/>
  <c r="AV7" i="24" s="1"/>
  <c r="AV8" i="24"/>
  <c r="AV9" i="24" s="1"/>
  <c r="G53" i="25"/>
  <c r="U53" i="25"/>
  <c r="AV36" i="24"/>
  <c r="AV37" i="24" s="1"/>
  <c r="X53" i="25"/>
  <c r="AV42" i="24"/>
  <c r="AV22" i="24"/>
  <c r="AV23" i="24" s="1"/>
  <c r="N53" i="25"/>
  <c r="AV34" i="24"/>
  <c r="AV35" i="24" s="1"/>
  <c r="T53" i="25"/>
  <c r="AV4" i="24"/>
  <c r="AV5" i="24" s="1"/>
  <c r="E53" i="25"/>
  <c r="AV8" i="23"/>
  <c r="AV9" i="23" s="1"/>
  <c r="G52" i="25"/>
  <c r="AV26" i="23"/>
  <c r="AV27" i="23" s="1"/>
  <c r="P52" i="25"/>
  <c r="L53" i="25"/>
  <c r="AV18" i="24"/>
  <c r="AV19" i="24" s="1"/>
  <c r="X52" i="25"/>
  <c r="AV42" i="23"/>
  <c r="AV24" i="23"/>
  <c r="AV25" i="23" s="1"/>
  <c r="O52" i="25"/>
  <c r="AV12" i="23"/>
  <c r="AV13" i="23" s="1"/>
  <c r="I52" i="25"/>
  <c r="AV38" i="24"/>
  <c r="AV39" i="24" s="1"/>
  <c r="V53" i="25"/>
  <c r="AV24" i="24"/>
  <c r="AV25" i="24" s="1"/>
  <c r="O53" i="25"/>
  <c r="K53" i="25"/>
  <c r="AV16" i="24"/>
  <c r="AV17" i="24" s="1"/>
  <c r="AV32" i="23"/>
  <c r="AV33" i="23" s="1"/>
  <c r="S52" i="25"/>
  <c r="R111" i="4"/>
  <c r="R103" i="4" s="1"/>
  <c r="L77" i="25" s="1"/>
  <c r="Q111" i="4"/>
  <c r="Q103" i="4" s="1"/>
  <c r="K77" i="25" s="1"/>
  <c r="K76" i="25" s="1"/>
  <c r="S111" i="4"/>
  <c r="S103" i="4" s="1"/>
  <c r="M77" i="25" s="1"/>
  <c r="M76" i="25" s="1"/>
  <c r="AA111" i="4"/>
  <c r="AA103" i="4" s="1"/>
  <c r="U77" i="25" s="1"/>
  <c r="AB111" i="4"/>
  <c r="AB103" i="4" s="1"/>
  <c r="V77" i="25" s="1"/>
  <c r="P111" i="4"/>
  <c r="P103" i="4" s="1"/>
  <c r="J77" i="25" s="1"/>
  <c r="X111" i="4"/>
  <c r="X103" i="4" s="1"/>
  <c r="R77" i="25" s="1"/>
  <c r="U111" i="4"/>
  <c r="U103" i="4" s="1"/>
  <c r="O77" i="25" s="1"/>
  <c r="N111" i="4"/>
  <c r="N103" i="4" s="1"/>
  <c r="H77" i="25" s="1"/>
  <c r="H76" i="25" s="1"/>
  <c r="M111" i="4"/>
  <c r="M103" i="4" s="1"/>
  <c r="G77" i="25" s="1"/>
  <c r="G76" i="25" s="1"/>
  <c r="Z111" i="4"/>
  <c r="Z103" i="4" s="1"/>
  <c r="T77" i="25" s="1"/>
  <c r="W111" i="4"/>
  <c r="W103" i="4" s="1"/>
  <c r="Q77" i="25" s="1"/>
  <c r="Y111" i="4"/>
  <c r="Y103" i="4" s="1"/>
  <c r="S77" i="25" s="1"/>
  <c r="S76" i="25" s="1"/>
  <c r="V111" i="4"/>
  <c r="V103" i="4" s="1"/>
  <c r="P77" i="25" s="1"/>
  <c r="T111" i="4"/>
  <c r="T103" i="4" s="1"/>
  <c r="N77" i="25" s="1"/>
  <c r="N76" i="25" s="1"/>
  <c r="O111" i="4"/>
  <c r="O103" i="4" s="1"/>
  <c r="I77" i="25" s="1"/>
  <c r="I76" i="25" s="1"/>
  <c r="P76" i="25" l="1"/>
  <c r="U76" i="25"/>
  <c r="L88" i="25"/>
  <c r="U88" i="25"/>
  <c r="T88" i="25"/>
  <c r="R76" i="25"/>
  <c r="O76" i="25"/>
  <c r="W76" i="25"/>
  <c r="T76" i="25"/>
  <c r="AF15" i="18"/>
  <c r="AE16" i="18"/>
  <c r="AF14" i="18"/>
  <c r="J76" i="25"/>
  <c r="X76" i="25"/>
  <c r="Q88" i="25"/>
  <c r="L76" i="25"/>
  <c r="V76" i="25"/>
  <c r="F76" i="25"/>
  <c r="Q76" i="25"/>
  <c r="V88" i="25"/>
  <c r="S88" i="25"/>
  <c r="R88" i="25"/>
  <c r="I88" i="25"/>
  <c r="X85" i="25"/>
  <c r="M88" i="25"/>
  <c r="W85" i="25"/>
  <c r="L87" i="25"/>
  <c r="L86" i="25" s="1"/>
  <c r="Q87" i="25"/>
  <c r="R87" i="25"/>
  <c r="U87" i="25"/>
  <c r="H88" i="25"/>
  <c r="S87" i="25"/>
  <c r="T87" i="25"/>
  <c r="V85" i="25"/>
  <c r="R85" i="25"/>
  <c r="T85" i="25"/>
  <c r="X87" i="25"/>
  <c r="X86" i="25" s="1"/>
  <c r="S85" i="25"/>
  <c r="N87" i="25"/>
  <c r="O88" i="25"/>
  <c r="G87" i="25"/>
  <c r="G86" i="25" s="1"/>
  <c r="W87" i="25"/>
  <c r="W86" i="25" s="1"/>
  <c r="O87" i="25"/>
  <c r="V87" i="25"/>
  <c r="J87" i="25"/>
  <c r="P87" i="25"/>
  <c r="U85" i="25"/>
  <c r="J88" i="25"/>
  <c r="I87" i="25"/>
  <c r="P88" i="25"/>
  <c r="M87" i="25"/>
  <c r="AH11" i="18"/>
  <c r="N88" i="25"/>
  <c r="Q85" i="25"/>
  <c r="H87" i="25"/>
  <c r="K87" i="25"/>
  <c r="K88" i="25"/>
  <c r="U51" i="25"/>
  <c r="U50" i="25" s="1"/>
  <c r="AP36" i="25" s="1"/>
  <c r="AA46" i="4"/>
  <c r="U59" i="25" s="1"/>
  <c r="AW42" i="4"/>
  <c r="X58" i="25"/>
  <c r="S51" i="25"/>
  <c r="S50" i="25" s="1"/>
  <c r="Y46" i="4"/>
  <c r="S59" i="25" s="1"/>
  <c r="S66" i="25" s="1"/>
  <c r="W58" i="25"/>
  <c r="AW40" i="4"/>
  <c r="AW41" i="4" s="1"/>
  <c r="Q51" i="25"/>
  <c r="Q50" i="25" s="1"/>
  <c r="AP28" i="25" s="1"/>
  <c r="AP29" i="25" s="1"/>
  <c r="W46" i="4"/>
  <c r="Q59" i="25" s="1"/>
  <c r="T51" i="25"/>
  <c r="T50" i="25" s="1"/>
  <c r="AP34" i="25" s="1"/>
  <c r="Z46" i="4"/>
  <c r="T59" i="25" s="1"/>
  <c r="V51" i="25"/>
  <c r="V50" i="25" s="1"/>
  <c r="AP38" i="25" s="1"/>
  <c r="AP39" i="25" s="1"/>
  <c r="AB46" i="4"/>
  <c r="V59" i="25" s="1"/>
  <c r="R51" i="25"/>
  <c r="R50" i="25" s="1"/>
  <c r="X46" i="4"/>
  <c r="R59" i="25" s="1"/>
  <c r="R66" i="25" s="1"/>
  <c r="E86" i="25"/>
  <c r="F86" i="25"/>
  <c r="X50" i="25"/>
  <c r="AP42" i="25" s="1"/>
  <c r="W50" i="25"/>
  <c r="AP40" i="25" s="1"/>
  <c r="S29" i="14"/>
  <c r="G28" i="14"/>
  <c r="G27" i="14"/>
  <c r="F29" i="14"/>
  <c r="E29" i="14"/>
  <c r="D29" i="14"/>
  <c r="F28" i="14"/>
  <c r="E28" i="14"/>
  <c r="D28" i="14"/>
  <c r="F27" i="14"/>
  <c r="E27" i="14"/>
  <c r="D27" i="14"/>
  <c r="F26" i="14"/>
  <c r="E26" i="14"/>
  <c r="D26" i="14"/>
  <c r="G25" i="14"/>
  <c r="F25" i="14"/>
  <c r="E25" i="14"/>
  <c r="D25" i="14"/>
  <c r="F24" i="14"/>
  <c r="E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9" i="14"/>
  <c r="E19" i="14"/>
  <c r="D19" i="14"/>
  <c r="F18" i="14"/>
  <c r="E18" i="14"/>
  <c r="D18" i="14"/>
  <c r="F17" i="14"/>
  <c r="E17" i="14"/>
  <c r="D17" i="14"/>
  <c r="G16" i="14"/>
  <c r="F16" i="14"/>
  <c r="E16" i="14"/>
  <c r="D16" i="14"/>
  <c r="G15" i="14"/>
  <c r="F15" i="14"/>
  <c r="E15" i="14"/>
  <c r="D15" i="14"/>
  <c r="G14" i="14"/>
  <c r="F14" i="14"/>
  <c r="E14" i="14"/>
  <c r="D14" i="14"/>
  <c r="G13" i="14"/>
  <c r="F13" i="14"/>
  <c r="E13" i="14"/>
  <c r="D13" i="14"/>
  <c r="G12" i="14"/>
  <c r="F12" i="14"/>
  <c r="E12" i="14"/>
  <c r="D12" i="14"/>
  <c r="G11" i="14"/>
  <c r="F11" i="14"/>
  <c r="E11" i="14"/>
  <c r="D11" i="14"/>
  <c r="G10" i="14"/>
  <c r="F10" i="14"/>
  <c r="E10" i="14"/>
  <c r="D10" i="14"/>
  <c r="G9" i="14"/>
  <c r="F9" i="14"/>
  <c r="E9" i="14"/>
  <c r="D9" i="14"/>
  <c r="G8" i="14"/>
  <c r="F8" i="14"/>
  <c r="E8" i="14"/>
  <c r="D8" i="14"/>
  <c r="G7" i="14"/>
  <c r="F7" i="14"/>
  <c r="E7" i="14"/>
  <c r="D7" i="14"/>
  <c r="G6" i="14"/>
  <c r="F6" i="14"/>
  <c r="E6" i="14"/>
  <c r="D6" i="14"/>
  <c r="G5" i="14"/>
  <c r="F5" i="14"/>
  <c r="E5" i="14"/>
  <c r="G23" i="14"/>
  <c r="D5" i="14"/>
  <c r="R68" i="25" l="1"/>
  <c r="R67" i="25"/>
  <c r="U86" i="25"/>
  <c r="T86" i="25"/>
  <c r="Q66" i="25"/>
  <c r="Q69" i="25" s="1"/>
  <c r="AH12" i="18"/>
  <c r="T66" i="25" s="1"/>
  <c r="AI11" i="18"/>
  <c r="R69" i="25"/>
  <c r="Q86" i="25"/>
  <c r="AF16" i="18"/>
  <c r="AG14" i="18"/>
  <c r="V86" i="25"/>
  <c r="S86" i="25"/>
  <c r="R86" i="25"/>
  <c r="I86" i="25"/>
  <c r="M86" i="25"/>
  <c r="P86" i="25"/>
  <c r="N86" i="25"/>
  <c r="K86" i="25"/>
  <c r="J86" i="25"/>
  <c r="H86" i="25"/>
  <c r="O86" i="25"/>
  <c r="AI12" i="18"/>
  <c r="U66" i="25" s="1"/>
  <c r="G29" i="14"/>
  <c r="AQ42" i="25"/>
  <c r="AQ40" i="25"/>
  <c r="AQ41" i="25" s="1"/>
  <c r="AP30" i="25"/>
  <c r="AP31" i="25" s="1"/>
  <c r="AW38" i="4"/>
  <c r="AW39" i="4" s="1"/>
  <c r="V58" i="25"/>
  <c r="AW32" i="4"/>
  <c r="AW33" i="4" s="1"/>
  <c r="S58" i="25"/>
  <c r="AP32" i="25"/>
  <c r="AP33" i="25" s="1"/>
  <c r="AW34" i="4"/>
  <c r="AW35" i="4" s="1"/>
  <c r="T58" i="25"/>
  <c r="AW28" i="4"/>
  <c r="AW29" i="4" s="1"/>
  <c r="Q58" i="25"/>
  <c r="AW36" i="4"/>
  <c r="AW37" i="4" s="1"/>
  <c r="U58" i="25"/>
  <c r="R58" i="25"/>
  <c r="AW30" i="4"/>
  <c r="AW31" i="4" s="1"/>
  <c r="AP37" i="25"/>
  <c r="AP35" i="25"/>
  <c r="S27" i="14"/>
  <c r="S78" i="14" s="1"/>
  <c r="S79" i="14" s="1"/>
  <c r="Q78" i="14"/>
  <c r="Q79" i="14" s="1"/>
  <c r="G17" i="14"/>
  <c r="G58" i="14" s="1"/>
  <c r="G59" i="14" s="1"/>
  <c r="S17" i="14"/>
  <c r="S58" i="14" s="1"/>
  <c r="S59" i="14" s="1"/>
  <c r="Q58" i="14"/>
  <c r="Q59" i="14" s="1"/>
  <c r="G18" i="14"/>
  <c r="G60" i="14" s="1"/>
  <c r="G61" i="14" s="1"/>
  <c r="S18" i="14"/>
  <c r="S60" i="14" s="1"/>
  <c r="S61" i="14" s="1"/>
  <c r="Q60" i="14"/>
  <c r="Q61" i="14" s="1"/>
  <c r="G19" i="14"/>
  <c r="S19" i="14"/>
  <c r="S62" i="14" s="1"/>
  <c r="S63" i="14" s="1"/>
  <c r="Q62" i="14"/>
  <c r="Q63" i="14" s="1"/>
  <c r="G20" i="14"/>
  <c r="S20" i="14"/>
  <c r="S64" i="14" s="1"/>
  <c r="S65" i="14" s="1"/>
  <c r="Q64" i="14"/>
  <c r="Q65" i="14" s="1"/>
  <c r="G21" i="14"/>
  <c r="G66" i="14" s="1"/>
  <c r="G67" i="14" s="1"/>
  <c r="S21" i="14"/>
  <c r="S66" i="14" s="1"/>
  <c r="S67" i="14" s="1"/>
  <c r="Q66" i="14"/>
  <c r="Q67" i="14" s="1"/>
  <c r="S25" i="14"/>
  <c r="S74" i="14" s="1"/>
  <c r="S75" i="14" s="1"/>
  <c r="Q74" i="14"/>
  <c r="Q75" i="14" s="1"/>
  <c r="G22" i="14"/>
  <c r="G68" i="14" s="1"/>
  <c r="G69" i="14" s="1"/>
  <c r="S22" i="14"/>
  <c r="S68" i="14" s="1"/>
  <c r="S69" i="14" s="1"/>
  <c r="Q68" i="14"/>
  <c r="Q69" i="14" s="1"/>
  <c r="S26" i="14"/>
  <c r="S76" i="14" s="1"/>
  <c r="S77" i="14" s="1"/>
  <c r="Q76" i="14"/>
  <c r="Q77" i="14" s="1"/>
  <c r="AP41" i="25"/>
  <c r="S23" i="14"/>
  <c r="S70" i="14" s="1"/>
  <c r="S71" i="14" s="1"/>
  <c r="Q70" i="14"/>
  <c r="Q71" i="14" s="1"/>
  <c r="G24" i="14"/>
  <c r="G72" i="14" s="1"/>
  <c r="G73" i="14" s="1"/>
  <c r="S24" i="14"/>
  <c r="S72" i="14" s="1"/>
  <c r="S73" i="14" s="1"/>
  <c r="Q72" i="14"/>
  <c r="Q73" i="14" s="1"/>
  <c r="G26" i="14"/>
  <c r="G76" i="14" s="1"/>
  <c r="G77" i="14" s="1"/>
  <c r="S28" i="14"/>
  <c r="S80" i="14" s="1"/>
  <c r="S81" i="14" s="1"/>
  <c r="Q80" i="14"/>
  <c r="Q81" i="14" s="1"/>
  <c r="G80" i="14"/>
  <c r="G81" i="14" s="1"/>
  <c r="F80" i="14"/>
  <c r="F81" i="14" s="1"/>
  <c r="E80" i="14"/>
  <c r="E81" i="14" s="1"/>
  <c r="G78" i="14"/>
  <c r="G79" i="14" s="1"/>
  <c r="F78" i="14"/>
  <c r="F79" i="14" s="1"/>
  <c r="E78" i="14"/>
  <c r="E79" i="14" s="1"/>
  <c r="F76" i="14"/>
  <c r="F77" i="14" s="1"/>
  <c r="E76" i="14"/>
  <c r="E77" i="14" s="1"/>
  <c r="G74" i="14"/>
  <c r="G75" i="14" s="1"/>
  <c r="F74" i="14"/>
  <c r="F75" i="14" s="1"/>
  <c r="E74" i="14"/>
  <c r="E75" i="14" s="1"/>
  <c r="F72" i="14"/>
  <c r="F73" i="14" s="1"/>
  <c r="E72" i="14"/>
  <c r="E73" i="14" s="1"/>
  <c r="G70" i="14"/>
  <c r="G71" i="14" s="1"/>
  <c r="F70" i="14"/>
  <c r="F71" i="14" s="1"/>
  <c r="E70" i="14"/>
  <c r="E71" i="14" s="1"/>
  <c r="F68" i="14"/>
  <c r="F69" i="14" s="1"/>
  <c r="E68" i="14"/>
  <c r="E69" i="14" s="1"/>
  <c r="F66" i="14"/>
  <c r="F67" i="14" s="1"/>
  <c r="E66" i="14"/>
  <c r="E67" i="14" s="1"/>
  <c r="G64" i="14"/>
  <c r="G65" i="14" s="1"/>
  <c r="F64" i="14"/>
  <c r="F65" i="14" s="1"/>
  <c r="E64" i="14"/>
  <c r="E65" i="14" s="1"/>
  <c r="G62" i="14"/>
  <c r="G63" i="14" s="1"/>
  <c r="F62" i="14"/>
  <c r="F63" i="14" s="1"/>
  <c r="E62" i="14"/>
  <c r="E63" i="14" s="1"/>
  <c r="D80" i="14"/>
  <c r="D81" i="14" s="1"/>
  <c r="D78" i="14"/>
  <c r="D79" i="14" s="1"/>
  <c r="D76" i="14"/>
  <c r="D77" i="14" s="1"/>
  <c r="D74" i="14"/>
  <c r="D75" i="14" s="1"/>
  <c r="D72" i="14"/>
  <c r="D73" i="14" s="1"/>
  <c r="D70" i="14"/>
  <c r="D71" i="14" s="1"/>
  <c r="D68" i="14"/>
  <c r="D69" i="14" s="1"/>
  <c r="D66" i="14"/>
  <c r="D67" i="14" s="1"/>
  <c r="D64" i="14"/>
  <c r="D65" i="14" s="1"/>
  <c r="D62" i="14"/>
  <c r="D63" i="14" s="1"/>
  <c r="F60" i="14"/>
  <c r="F61" i="14" s="1"/>
  <c r="E60" i="14"/>
  <c r="E61" i="14" s="1"/>
  <c r="D60" i="14"/>
  <c r="D61" i="14" s="1"/>
  <c r="F58" i="14"/>
  <c r="F59" i="14" s="1"/>
  <c r="E58" i="14"/>
  <c r="E59" i="14" s="1"/>
  <c r="D58" i="14"/>
  <c r="D59" i="14" s="1"/>
  <c r="G56" i="14"/>
  <c r="G57" i="14" s="1"/>
  <c r="F56" i="14"/>
  <c r="F57" i="14" s="1"/>
  <c r="E56" i="14"/>
  <c r="E57" i="14" s="1"/>
  <c r="D56" i="14"/>
  <c r="D57" i="14" s="1"/>
  <c r="G54" i="14"/>
  <c r="G55" i="14" s="1"/>
  <c r="F54" i="14"/>
  <c r="F55" i="14" s="1"/>
  <c r="E54" i="14"/>
  <c r="E55" i="14" s="1"/>
  <c r="D54" i="14"/>
  <c r="D55" i="14" s="1"/>
  <c r="G52" i="14"/>
  <c r="G53" i="14" s="1"/>
  <c r="F52" i="14"/>
  <c r="F53" i="14" s="1"/>
  <c r="E52" i="14"/>
  <c r="E53" i="14" s="1"/>
  <c r="G50" i="14"/>
  <c r="F50" i="14"/>
  <c r="E50" i="14"/>
  <c r="G48" i="14"/>
  <c r="F48" i="14"/>
  <c r="E48" i="14"/>
  <c r="D52" i="14"/>
  <c r="D53" i="14" s="1"/>
  <c r="D50" i="14"/>
  <c r="D51" i="14" s="1"/>
  <c r="D48" i="14"/>
  <c r="D49" i="14" s="1"/>
  <c r="G46" i="14"/>
  <c r="G47" i="14" s="1"/>
  <c r="F46" i="14"/>
  <c r="F47" i="14" s="1"/>
  <c r="E46" i="14"/>
  <c r="E47" i="14" s="1"/>
  <c r="D46" i="14"/>
  <c r="D47" i="14" s="1"/>
  <c r="G44" i="14"/>
  <c r="F44" i="14"/>
  <c r="E44" i="14"/>
  <c r="D44" i="14"/>
  <c r="G42" i="14"/>
  <c r="F42" i="14"/>
  <c r="E42" i="14"/>
  <c r="D42" i="14"/>
  <c r="G40" i="14"/>
  <c r="F40" i="14"/>
  <c r="E40" i="14"/>
  <c r="D40" i="14"/>
  <c r="S68" i="25" l="1"/>
  <c r="S67" i="25"/>
  <c r="S69" i="25"/>
  <c r="AG16" i="18"/>
  <c r="AH14" i="18"/>
  <c r="AJ11" i="18"/>
  <c r="AQ36" i="25"/>
  <c r="AQ37" i="25" s="1"/>
  <c r="AQ28" i="25"/>
  <c r="AQ29" i="25" s="1"/>
  <c r="AQ38" i="25"/>
  <c r="AQ39" i="25" s="1"/>
  <c r="AQ34" i="25"/>
  <c r="AQ35" i="25" s="1"/>
  <c r="AQ30" i="25"/>
  <c r="AQ31" i="25" s="1"/>
  <c r="AQ32" i="25"/>
  <c r="AQ33" i="25" s="1"/>
  <c r="G38" i="14"/>
  <c r="F38" i="14"/>
  <c r="E38" i="14"/>
  <c r="D38" i="14"/>
  <c r="D39" i="14" s="1"/>
  <c r="G36" i="14"/>
  <c r="G37" i="14" s="1"/>
  <c r="F36" i="14"/>
  <c r="F37" i="14" s="1"/>
  <c r="E36" i="14"/>
  <c r="E37" i="14" s="1"/>
  <c r="D36" i="14"/>
  <c r="D37" i="14" s="1"/>
  <c r="C80" i="14"/>
  <c r="C78" i="14"/>
  <c r="C76" i="14"/>
  <c r="C74" i="14"/>
  <c r="C72" i="14"/>
  <c r="C70" i="14"/>
  <c r="C68" i="14"/>
  <c r="C66" i="14"/>
  <c r="C64" i="14"/>
  <c r="C62" i="14"/>
  <c r="C60" i="14"/>
  <c r="C58" i="14"/>
  <c r="C56" i="14"/>
  <c r="C54" i="14"/>
  <c r="C52" i="14"/>
  <c r="C50" i="14"/>
  <c r="C48" i="14"/>
  <c r="C46" i="14"/>
  <c r="C44" i="14"/>
  <c r="C42" i="14"/>
  <c r="C40" i="14"/>
  <c r="C38" i="14"/>
  <c r="C36" i="14"/>
  <c r="G34" i="14"/>
  <c r="G35" i="14" s="1"/>
  <c r="F34" i="14"/>
  <c r="F35" i="14" s="1"/>
  <c r="E34" i="14"/>
  <c r="E35" i="14" s="1"/>
  <c r="D34" i="14"/>
  <c r="D35" i="14" s="1"/>
  <c r="H29" i="14"/>
  <c r="H28" i="14"/>
  <c r="H80" i="14" s="1"/>
  <c r="H27" i="14"/>
  <c r="H78" i="14" s="1"/>
  <c r="H26" i="14"/>
  <c r="H76" i="14" s="1"/>
  <c r="H25" i="14"/>
  <c r="H74" i="14" s="1"/>
  <c r="H24" i="14"/>
  <c r="H72" i="14" s="1"/>
  <c r="H23" i="14"/>
  <c r="H70" i="14" s="1"/>
  <c r="H22" i="14"/>
  <c r="H68" i="14" s="1"/>
  <c r="H21" i="14"/>
  <c r="H66" i="14" s="1"/>
  <c r="H20" i="14"/>
  <c r="H64" i="14" s="1"/>
  <c r="H19" i="14"/>
  <c r="H62" i="14" s="1"/>
  <c r="H18" i="14"/>
  <c r="H60" i="14" s="1"/>
  <c r="H17" i="14"/>
  <c r="H58" i="14" s="1"/>
  <c r="H16" i="14"/>
  <c r="H56" i="14" s="1"/>
  <c r="H15" i="14"/>
  <c r="H54" i="14" s="1"/>
  <c r="H14" i="14"/>
  <c r="H52" i="14" s="1"/>
  <c r="H13" i="14"/>
  <c r="H50" i="14" s="1"/>
  <c r="H12" i="14"/>
  <c r="H48" i="14" s="1"/>
  <c r="H11" i="14"/>
  <c r="H46" i="14" s="1"/>
  <c r="H47" i="14" s="1"/>
  <c r="H10" i="14"/>
  <c r="H44" i="14" s="1"/>
  <c r="H9" i="14"/>
  <c r="H42" i="14" s="1"/>
  <c r="H8" i="14"/>
  <c r="H40" i="14" s="1"/>
  <c r="H7" i="14"/>
  <c r="H38" i="14" s="1"/>
  <c r="H6" i="14"/>
  <c r="H36" i="14" s="1"/>
  <c r="C6" i="14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H5" i="14"/>
  <c r="T68" i="25" l="1"/>
  <c r="T67" i="25"/>
  <c r="AJ12" i="18"/>
  <c r="V66" i="25" s="1"/>
  <c r="AK11" i="18"/>
  <c r="AK12" i="18" s="1"/>
  <c r="W66" i="25" s="1"/>
  <c r="AH16" i="18"/>
  <c r="AI14" i="18"/>
  <c r="Q47" i="4"/>
  <c r="R47" i="4" s="1"/>
  <c r="S47" i="4" s="1"/>
  <c r="T47" i="4" s="1"/>
  <c r="U47" i="4" s="1"/>
  <c r="H34" i="14"/>
  <c r="H35" i="14" s="1"/>
  <c r="H81" i="14"/>
  <c r="H79" i="14"/>
  <c r="H77" i="14"/>
  <c r="H75" i="14"/>
  <c r="H73" i="14"/>
  <c r="H71" i="14"/>
  <c r="H69" i="14"/>
  <c r="H67" i="14"/>
  <c r="H65" i="14"/>
  <c r="H63" i="14"/>
  <c r="H61" i="14"/>
  <c r="H59" i="14"/>
  <c r="H57" i="14"/>
  <c r="H55" i="14"/>
  <c r="H53" i="14"/>
  <c r="H37" i="14"/>
  <c r="U68" i="25" l="1"/>
  <c r="U67" i="25"/>
  <c r="T69" i="25"/>
  <c r="AI16" i="18"/>
  <c r="AJ15" i="18"/>
  <c r="AJ14" i="18"/>
  <c r="AL11" i="18"/>
  <c r="AL12" i="18" s="1"/>
  <c r="X66" i="25" s="1"/>
  <c r="V47" i="4"/>
  <c r="W47" i="4" s="1"/>
  <c r="X47" i="4" s="1"/>
  <c r="Y47" i="4" s="1"/>
  <c r="Z47" i="4" s="1"/>
  <c r="V68" i="25" l="1"/>
  <c r="V67" i="25"/>
  <c r="U69" i="25"/>
  <c r="AJ16" i="18"/>
  <c r="AK15" i="18"/>
  <c r="AK14" i="18"/>
  <c r="AL14" i="18"/>
  <c r="AA47" i="4"/>
  <c r="AV30" i="4"/>
  <c r="AV31" i="4" s="1"/>
  <c r="AV28" i="4"/>
  <c r="AV29" i="4" s="1"/>
  <c r="AV32" i="4"/>
  <c r="AV33" i="4" s="1"/>
  <c r="X68" i="25" l="1"/>
  <c r="X67" i="25"/>
  <c r="W68" i="25"/>
  <c r="W67" i="25"/>
  <c r="V69" i="25"/>
  <c r="S71" i="25" s="1"/>
  <c r="AK16" i="18"/>
  <c r="AL15" i="18"/>
  <c r="AL16" i="18" s="1"/>
  <c r="AB47" i="4"/>
  <c r="AC47" i="4" s="1"/>
  <c r="E39" i="14"/>
  <c r="F39" i="14"/>
  <c r="G39" i="14"/>
  <c r="H39" i="14"/>
  <c r="X69" i="25" l="1"/>
  <c r="W69" i="25"/>
  <c r="AV34" i="4"/>
  <c r="AV35" i="4" s="1"/>
  <c r="AD47" i="4"/>
  <c r="AV38" i="4"/>
  <c r="AV39" i="4" s="1"/>
  <c r="AV36" i="4"/>
  <c r="AV37" i="4" s="1"/>
  <c r="AV42" i="4"/>
  <c r="E43" i="14"/>
  <c r="D41" i="14"/>
  <c r="H41" i="14"/>
  <c r="E41" i="14"/>
  <c r="G41" i="14"/>
  <c r="F41" i="14"/>
  <c r="D43" i="14"/>
  <c r="H43" i="14"/>
  <c r="F43" i="14"/>
  <c r="G43" i="14"/>
  <c r="D45" i="14"/>
  <c r="H45" i="14"/>
  <c r="E45" i="14"/>
  <c r="F45" i="14"/>
  <c r="G45" i="14"/>
  <c r="H49" i="14"/>
  <c r="E49" i="14"/>
  <c r="G49" i="14"/>
  <c r="F49" i="14"/>
  <c r="H51" i="14"/>
  <c r="E51" i="14"/>
  <c r="G51" i="14"/>
  <c r="F51" i="14"/>
  <c r="P53" i="4"/>
  <c r="P158" i="4" l="1"/>
  <c r="P153" i="4" s="1"/>
  <c r="J90" i="25" s="1"/>
  <c r="J84" i="25" s="1"/>
  <c r="AV40" i="4"/>
  <c r="AV41" i="4" s="1"/>
  <c r="Q53" i="4"/>
  <c r="Q158" i="4" s="1"/>
  <c r="Q153" i="4" s="1"/>
  <c r="O53" i="4"/>
  <c r="S53" i="4"/>
  <c r="T53" i="4"/>
  <c r="T158" i="4" s="1"/>
  <c r="T153" i="4" s="1"/>
  <c r="U53" i="4"/>
  <c r="V53" i="4"/>
  <c r="V158" i="4" s="1"/>
  <c r="V153" i="4" s="1"/>
  <c r="R53" i="4"/>
  <c r="S158" i="4" l="1"/>
  <c r="S153" i="4" s="1"/>
  <c r="M90" i="25" s="1"/>
  <c r="M84" i="25" s="1"/>
  <c r="O158" i="4"/>
  <c r="O153" i="4" s="1"/>
  <c r="I90" i="25" s="1"/>
  <c r="I84" i="25" s="1"/>
  <c r="U158" i="4"/>
  <c r="U153" i="4" s="1"/>
  <c r="O90" i="25" s="1"/>
  <c r="O84" i="25" s="1"/>
  <c r="R158" i="4"/>
  <c r="R153" i="4" s="1"/>
  <c r="L90" i="25" s="1"/>
  <c r="L84" i="25" s="1"/>
  <c r="V105" i="4"/>
  <c r="P90" i="25"/>
  <c r="P84" i="25" s="1"/>
  <c r="T105" i="4"/>
  <c r="N90" i="25"/>
  <c r="N84" i="25" s="1"/>
  <c r="Q105" i="4"/>
  <c r="K90" i="25"/>
  <c r="K84" i="25" s="1"/>
  <c r="S105" i="4"/>
  <c r="O105" i="4"/>
  <c r="N105" i="4"/>
  <c r="P105" i="4"/>
  <c r="R105" i="4"/>
  <c r="U105" i="4"/>
  <c r="M52" i="4"/>
  <c r="M48" i="4" s="1"/>
  <c r="V52" i="4"/>
  <c r="V48" i="4" s="1"/>
  <c r="S52" i="4"/>
  <c r="S48" i="4" s="1"/>
  <c r="P52" i="4"/>
  <c r="P48" i="4" s="1"/>
  <c r="N52" i="4"/>
  <c r="N48" i="4" s="1"/>
  <c r="K52" i="4"/>
  <c r="L52" i="4"/>
  <c r="L48" i="4" s="1"/>
  <c r="R52" i="4"/>
  <c r="R48" i="4" s="1"/>
  <c r="O52" i="4"/>
  <c r="O48" i="4" s="1"/>
  <c r="Q52" i="4"/>
  <c r="Q48" i="4" s="1"/>
  <c r="U52" i="4"/>
  <c r="U48" i="4" s="1"/>
  <c r="T52" i="4"/>
  <c r="T48" i="4" s="1"/>
  <c r="K157" i="4" l="1"/>
  <c r="K48" i="4"/>
  <c r="P157" i="4"/>
  <c r="P154" i="4" s="1"/>
  <c r="J91" i="25" s="1"/>
  <c r="J85" i="25" s="1"/>
  <c r="O157" i="4"/>
  <c r="O154" i="4" s="1"/>
  <c r="I91" i="25" s="1"/>
  <c r="I85" i="25" s="1"/>
  <c r="M157" i="4"/>
  <c r="M154" i="4" s="1"/>
  <c r="G91" i="25" s="1"/>
  <c r="G85" i="25" s="1"/>
  <c r="T157" i="4"/>
  <c r="T154" i="4" s="1"/>
  <c r="N91" i="25" s="1"/>
  <c r="N85" i="25" s="1"/>
  <c r="L157" i="4"/>
  <c r="L154" i="4" s="1"/>
  <c r="F91" i="25" s="1"/>
  <c r="F85" i="25" s="1"/>
  <c r="Q157" i="4"/>
  <c r="Q154" i="4" s="1"/>
  <c r="K91" i="25" s="1"/>
  <c r="K85" i="25" s="1"/>
  <c r="V157" i="4"/>
  <c r="V154" i="4" s="1"/>
  <c r="P91" i="25" s="1"/>
  <c r="P85" i="25" s="1"/>
  <c r="R157" i="4"/>
  <c r="R154" i="4" s="1"/>
  <c r="L91" i="25" s="1"/>
  <c r="L85" i="25" s="1"/>
  <c r="U157" i="4"/>
  <c r="U154" i="4" s="1"/>
  <c r="O91" i="25" s="1"/>
  <c r="O85" i="25" s="1"/>
  <c r="S157" i="4"/>
  <c r="S154" i="4" s="1"/>
  <c r="M91" i="25" s="1"/>
  <c r="M85" i="25" s="1"/>
  <c r="K154" i="4"/>
  <c r="E91" i="25" s="1"/>
  <c r="E85" i="25" s="1"/>
  <c r="N157" i="4"/>
  <c r="N154" i="4" s="1"/>
  <c r="H91" i="25" s="1"/>
  <c r="H85" i="25" s="1"/>
  <c r="Q104" i="4"/>
  <c r="O104" i="4"/>
  <c r="R104" i="4"/>
  <c r="L104" i="4"/>
  <c r="K104" i="4"/>
  <c r="N104" i="4"/>
  <c r="P104" i="4"/>
  <c r="S104" i="4"/>
  <c r="V104" i="4"/>
  <c r="AV8" i="4"/>
  <c r="AV9" i="4" s="1"/>
  <c r="M104" i="4"/>
  <c r="T104" i="4"/>
  <c r="U104" i="4"/>
  <c r="AV16" i="4"/>
  <c r="AV17" i="4" s="1"/>
  <c r="AV6" i="4" l="1"/>
  <c r="AV7" i="4" s="1"/>
  <c r="L46" i="4"/>
  <c r="G51" i="25"/>
  <c r="G50" i="25" s="1"/>
  <c r="AP8" i="25" s="1"/>
  <c r="AP9" i="25" s="1"/>
  <c r="M46" i="4"/>
  <c r="AV10" i="4"/>
  <c r="AV11" i="4" s="1"/>
  <c r="N46" i="4"/>
  <c r="E51" i="25"/>
  <c r="E50" i="25" s="1"/>
  <c r="AP4" i="25" s="1"/>
  <c r="AP5" i="25" s="1"/>
  <c r="K46" i="4"/>
  <c r="AV24" i="4"/>
  <c r="AV25" i="4" s="1"/>
  <c r="U46" i="4"/>
  <c r="O59" i="25" s="1"/>
  <c r="M51" i="25"/>
  <c r="M50" i="25" s="1"/>
  <c r="AP20" i="25" s="1"/>
  <c r="AP21" i="25" s="1"/>
  <c r="S46" i="4"/>
  <c r="M59" i="25" s="1"/>
  <c r="N51" i="25"/>
  <c r="N50" i="25" s="1"/>
  <c r="AP22" i="25" s="1"/>
  <c r="AP23" i="25" s="1"/>
  <c r="T46" i="4"/>
  <c r="N59" i="25" s="1"/>
  <c r="AV26" i="4"/>
  <c r="AV27" i="4" s="1"/>
  <c r="V46" i="4"/>
  <c r="P59" i="25" s="1"/>
  <c r="AV14" i="4"/>
  <c r="AV15" i="4" s="1"/>
  <c r="P46" i="4"/>
  <c r="J59" i="25" s="1"/>
  <c r="AV18" i="4"/>
  <c r="AV19" i="4" s="1"/>
  <c r="R46" i="4"/>
  <c r="L59" i="25" s="1"/>
  <c r="I51" i="25"/>
  <c r="I50" i="25" s="1"/>
  <c r="AP12" i="25" s="1"/>
  <c r="AP13" i="25" s="1"/>
  <c r="O46" i="4"/>
  <c r="I59" i="25" s="1"/>
  <c r="K51" i="25"/>
  <c r="K50" i="25" s="1"/>
  <c r="AP16" i="25" s="1"/>
  <c r="AP17" i="25" s="1"/>
  <c r="Q46" i="4"/>
  <c r="K59" i="25" s="1"/>
  <c r="AV12" i="4"/>
  <c r="AV13" i="4" s="1"/>
  <c r="P51" i="25"/>
  <c r="P50" i="25" s="1"/>
  <c r="AP26" i="25" s="1"/>
  <c r="O51" i="25"/>
  <c r="O50" i="25" s="1"/>
  <c r="AV22" i="4"/>
  <c r="AV23" i="4" s="1"/>
  <c r="AV20" i="4"/>
  <c r="AV21" i="4" s="1"/>
  <c r="J51" i="25"/>
  <c r="J50" i="25" s="1"/>
  <c r="AP14" i="25" s="1"/>
  <c r="H51" i="25"/>
  <c r="H50" i="25" s="1"/>
  <c r="AP10" i="25" s="1"/>
  <c r="AV4" i="4"/>
  <c r="AV5" i="4" s="1"/>
  <c r="F51" i="25"/>
  <c r="F50" i="25" s="1"/>
  <c r="AP6" i="25" s="1"/>
  <c r="L51" i="25"/>
  <c r="L50" i="25" s="1"/>
  <c r="AP18" i="25" s="1"/>
  <c r="P66" i="25" l="1"/>
  <c r="P69" i="25" s="1"/>
  <c r="N66" i="25"/>
  <c r="N69" i="25" s="1"/>
  <c r="M66" i="25"/>
  <c r="M69" i="25" s="1"/>
  <c r="J66" i="25"/>
  <c r="J69" i="25" s="1"/>
  <c r="O66" i="25"/>
  <c r="O69" i="25" s="1"/>
  <c r="K66" i="25"/>
  <c r="K69" i="25" s="1"/>
  <c r="I66" i="25"/>
  <c r="I69" i="25" s="1"/>
  <c r="L66" i="25"/>
  <c r="L69" i="25" s="1"/>
  <c r="H59" i="25"/>
  <c r="H66" i="25" s="1"/>
  <c r="AW10" i="4"/>
  <c r="AW11" i="4" s="1"/>
  <c r="AW8" i="4"/>
  <c r="AW9" i="4" s="1"/>
  <c r="G59" i="25"/>
  <c r="G66" i="25" s="1"/>
  <c r="AW6" i="4"/>
  <c r="AW7" i="4" s="1"/>
  <c r="F59" i="25"/>
  <c r="F66" i="25" s="1"/>
  <c r="AW4" i="4"/>
  <c r="AW5" i="4" s="1"/>
  <c r="E59" i="25"/>
  <c r="E66" i="25" s="1"/>
  <c r="N58" i="25"/>
  <c r="AW22" i="4"/>
  <c r="AW23" i="4" s="1"/>
  <c r="AP24" i="25"/>
  <c r="AP25" i="25" s="1"/>
  <c r="O58" i="25"/>
  <c r="AW24" i="4"/>
  <c r="AW25" i="4" s="1"/>
  <c r="AW26" i="4"/>
  <c r="AW27" i="4" s="1"/>
  <c r="P58" i="25"/>
  <c r="M58" i="25"/>
  <c r="AW20" i="4"/>
  <c r="AW21" i="4" s="1"/>
  <c r="K58" i="25"/>
  <c r="AW16" i="4"/>
  <c r="AW17" i="4" s="1"/>
  <c r="AW18" i="4"/>
  <c r="AW19" i="4" s="1"/>
  <c r="L58" i="25"/>
  <c r="I58" i="25"/>
  <c r="AW12" i="4"/>
  <c r="AW13" i="4" s="1"/>
  <c r="AW14" i="4"/>
  <c r="AW15" i="4" s="1"/>
  <c r="J58" i="25"/>
  <c r="AP27" i="25"/>
  <c r="AP19" i="25"/>
  <c r="AP11" i="25"/>
  <c r="AP15" i="25"/>
  <c r="AP7" i="25"/>
  <c r="F58" i="25" l="1"/>
  <c r="F69" i="25"/>
  <c r="E58" i="25"/>
  <c r="AQ4" i="25" s="1"/>
  <c r="AQ5" i="25" s="1"/>
  <c r="E69" i="25"/>
  <c r="G58" i="25"/>
  <c r="AQ8" i="25" s="1"/>
  <c r="AQ9" i="25" s="1"/>
  <c r="G69" i="25"/>
  <c r="H58" i="25"/>
  <c r="AQ10" i="25" s="1"/>
  <c r="AQ11" i="25" s="1"/>
  <c r="H69" i="25"/>
  <c r="AQ6" i="25"/>
  <c r="AQ7" i="25" s="1"/>
  <c r="AQ18" i="25"/>
  <c r="AQ19" i="25" s="1"/>
  <c r="AQ12" i="25"/>
  <c r="AQ13" i="25" s="1"/>
  <c r="AQ16" i="25"/>
  <c r="AQ17" i="25" s="1"/>
  <c r="AQ14" i="25"/>
  <c r="AQ15" i="25" s="1"/>
  <c r="AQ20" i="25"/>
  <c r="AQ21" i="25" s="1"/>
  <c r="AQ26" i="25"/>
  <c r="AQ27" i="25" s="1"/>
  <c r="AQ24" i="25"/>
  <c r="AQ25" i="25" s="1"/>
  <c r="AQ22" i="25"/>
  <c r="AQ23" i="25" s="1"/>
  <c r="O71" i="25" l="1"/>
  <c r="G71" i="25"/>
  <c r="K7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tc={49204F15-A8F1-5F4F-9535-2B158A885BD8}</author>
    <author>tc={1DE3F889-B758-BA43-8982-240118F46BCF}</author>
    <author>tc={30326E6E-C3BD-9E49-BF7F-A4D8117AD87C}</author>
    <author>tc={59195841-2757-0A4E-A338-374F33137343}</author>
  </authors>
  <commentList>
    <comment ref="C63" authorId="0" shapeId="0" xr:uid="{49204F15-A8F1-5F4F-9535-2B158A885BD8}">
      <text>
        <t>[Threaded comment]
Your version of Excel allows you to read this threaded comment; however, any edits to it will get removed if the file is opened in a newer version of Excel. Learn more: https://go.microsoft.com/fwlink/?linkid=870924
Comment:
    mi355s</t>
      </text>
    </comment>
    <comment ref="C64" authorId="1" shapeId="0" xr:uid="{1DE3F889-B758-BA43-8982-240118F46BCF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 for these blocks</t>
      </text>
    </comment>
    <comment ref="C65" authorId="2" shapeId="0" xr:uid="{30326E6E-C3BD-9E49-BF7F-A4D8117AD87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category</t>
      </text>
    </comment>
    <comment ref="C66" authorId="3" shapeId="0" xr:uid="{59195841-2757-0A4E-A338-374F3313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mi355s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tc={46CDD2D7-7D68-EB45-821D-ADE0A2D11BAF}</author>
  </authors>
  <commentList>
    <comment ref="C57" authorId="0" shapeId="0" xr:uid="{46CDD2D7-7D68-EB45-821D-ADE0A2D11BAF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new HDD2 category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tc={CAE81FFB-9E8C-B041-9A1D-DF5C203A99AD}</author>
    <author>Alex Szalay</author>
    <author>tc={E2858294-385A-E241-8B57-80A6AE2147D3}</author>
    <author>tc={B2CB939E-1199-7448-A9BB-3B9D0DCF4459}</author>
    <author>tc={485121D8-7C9E-3444-8706-D39B82958615}</author>
    <author>tc={0FED14A0-942E-2A4A-A943-E8BF8D053C0B}</author>
  </authors>
  <commentList>
    <comment ref="K4" authorId="0" shapeId="0" xr:uid="{CAE81FFB-9E8C-B041-9A1D-DF5C203A99AD}">
      <text>
        <t>[Threaded comment]
Your version of Excel allows you to read this threaded comment; however, any edits to it will get removed if the file is opened in a newer version of Excel. Learn more: https://go.microsoft.com/fwlink/?linkid=870924
Comment:
    150 kW core foundation for Mt Wash</t>
      </text>
    </comment>
    <comment ref="I7" authorId="1" shapeId="0" xr:uid="{9AB30AED-5314-4C66-82FC-57E23E3F4C7C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Phase 1 load
</t>
        </r>
      </text>
    </comment>
    <comment ref="I9" authorId="1" shapeId="0" xr:uid="{88B5F156-5E4C-41F9-A155-5A6AD2FC34EF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Arch upgrade
</t>
        </r>
      </text>
    </comment>
    <comment ref="T11" authorId="1" shapeId="0" xr:uid="{FECB43F6-BC2C-4365-915E-A88A9FF05E3E}">
      <text>
        <r>
          <rPr>
            <b/>
            <sz val="9"/>
            <color rgb="FF000000"/>
            <rFont val="Tahoma"/>
            <family val="2"/>
          </rPr>
          <t>Alex Szalay: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Phase I upgrade starts
</t>
        </r>
      </text>
    </comment>
    <comment ref="I17" authorId="2" shapeId="0" xr:uid="{E2858294-385A-E241-8B57-80A6AE2147D3}">
      <text>
        <t>[Threaded comment]
Your version of Excel allows you to read this threaded comment; however, any edits to it will get removed if the file is opened in a newer version of Excel. Learn more: https://go.microsoft.com/fwlink/?linkid=870924
Comment:
    Rockfish v1 goes offline</t>
      </text>
    </comment>
    <comment ref="P19" authorId="1" shapeId="0" xr:uid="{3632C6EC-883C-46EC-B17B-544ED062A174}">
      <text>
        <r>
          <rPr>
            <b/>
            <sz val="9"/>
            <color rgb="FF000000"/>
            <rFont val="Tahoma"/>
            <family val="2"/>
          </rPr>
          <t>Alex Szalay: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est $20M for the upgrade of the whole facility to modern 2MW. This is the max w/o new feeders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P20" authorId="1" shapeId="0" xr:uid="{F12431E8-32B7-4589-B11B-42C91879504A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I21" authorId="3" shapeId="0" xr:uid="{B2CB939E-1199-7448-A9BB-3B9D0DCF4459}">
      <text>
        <t>[Threaded comment]
Your version of Excel allows you to read this threaded comment; however, any edits to it will get removed if the file is opened in a newer version of Excel. Learn more: https://go.microsoft.com/fwlink/?linkid=870924
Comment:
    ??? why the drop??</t>
      </text>
    </comment>
    <comment ref="P21" authorId="1" shapeId="0" xr:uid="{D5E57931-C723-4507-BB3E-1F1612A19378}">
      <text>
        <r>
          <rPr>
            <b/>
            <sz val="9"/>
            <color rgb="FF000000"/>
            <rFont val="Tahoma"/>
            <family val="2"/>
          </rPr>
          <t>Alex Szalay: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est $20M for the upgrade of the whole facility to modern 2MW. This is the max w/o new feeders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22" authorId="4" shapeId="0" xr:uid="{485121D8-7C9E-3444-8706-D39B8295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Reflects the add from IDIES
Reply:
    .2</t>
      </text>
    </comment>
    <comment ref="J22" authorId="5" shapeId="0" xr:uid="{0FED14A0-942E-2A4A-A943-E8BF8D053C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to MARCC. Assume some of these will be retired and moving only core equipment</t>
      </text>
    </comment>
    <comment ref="P22" authorId="1" shapeId="0" xr:uid="{3517FC43-3F75-4021-8072-71E0BE54E3A1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P23" authorId="1" shapeId="0" xr:uid="{581B0E3F-CD9F-4F79-B946-CCDA36AD1BBA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P24" authorId="1" shapeId="0" xr:uid="{08F3F170-63BE-4A2B-A2CC-600E899EF22C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P25" authorId="1" shapeId="0" xr:uid="{10EE9C34-A23F-412F-9E35-1DD4D96CF1EF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P26" authorId="1" shapeId="0" xr:uid="{FE0AFA97-9213-5C40-8FD4-15831AE9B1A8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P27" authorId="1" shapeId="0" xr:uid="{216D19A0-3855-4A4D-BD30-72F604996862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P28" authorId="1" shapeId="0" xr:uid="{BCC574EB-0577-EA4A-B087-96E85DF9D5B0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  <comment ref="P29" authorId="1" shapeId="0" xr:uid="{64D13CAE-D127-1C4F-8630-239E7CCABAE7}">
      <text>
        <r>
          <rPr>
            <b/>
            <sz val="9"/>
            <color indexed="81"/>
            <rFont val="Tahoma"/>
            <family val="2"/>
          </rPr>
          <t>Alex Szalay:</t>
        </r>
        <r>
          <rPr>
            <sz val="9"/>
            <color indexed="81"/>
            <rFont val="Tahoma"/>
            <family val="2"/>
          </rPr>
          <t xml:space="preserve">
est $20M for the upgrade of the whole facility to modern 2MW. This is the max w/o new feeders
</t>
        </r>
      </text>
    </comment>
  </commentList>
</comments>
</file>

<file path=xl/sharedStrings.xml><?xml version="1.0" encoding="utf-8"?>
<sst xmlns="http://schemas.openxmlformats.org/spreadsheetml/2006/main" count="427" uniqueCount="135">
  <si>
    <t>created for stair plot</t>
  </si>
  <si>
    <t>Used</t>
  </si>
  <si>
    <t>year</t>
  </si>
  <si>
    <t>MW</t>
  </si>
  <si>
    <t>Adjusted</t>
  </si>
  <si>
    <t>Version 15,  2025-07-24</t>
  </si>
  <si>
    <t>POWER USE     [MW]</t>
  </si>
  <si>
    <t>Total</t>
  </si>
  <si>
    <t>BayView</t>
  </si>
  <si>
    <t>Mt. Wash</t>
  </si>
  <si>
    <t>Bloomberg</t>
  </si>
  <si>
    <t>This is the total amount of power consumed</t>
  </si>
  <si>
    <t>ADJUSTED POWER     [MW]</t>
  </si>
  <si>
    <t>This is the amount that incurs utility charges</t>
  </si>
  <si>
    <t>ADJUSTED  UTILITY  COSTS  [$k/qt]</t>
  </si>
  <si>
    <t>total [$k]</t>
  </si>
  <si>
    <t>FY 2025</t>
  </si>
  <si>
    <t>FY 2026</t>
  </si>
  <si>
    <t>FY 2027</t>
  </si>
  <si>
    <t>FY 2028</t>
  </si>
  <si>
    <t>$k/year</t>
  </si>
  <si>
    <t>The quarterly and annual utility costs, using the costing model on the Power Blocks tab</t>
  </si>
  <si>
    <t>The costs also carry an overhead due to the power consumend by the cooling equipment (see Power Blocks tab)</t>
  </si>
  <si>
    <t xml:space="preserve"> CAPEX   [$M]</t>
  </si>
  <si>
    <t>The quarterly CAPEX spent on equipment purchases</t>
  </si>
  <si>
    <t>TOTAL EQUIPMENT</t>
  </si>
  <si>
    <t>GPU</t>
  </si>
  <si>
    <t>CPU</t>
  </si>
  <si>
    <t>Storage</t>
  </si>
  <si>
    <t>Hdisk</t>
  </si>
  <si>
    <t>Sdisk</t>
  </si>
  <si>
    <t>Bayview</t>
  </si>
  <si>
    <t>Mt.Wash</t>
  </si>
  <si>
    <t>adjusted</t>
  </si>
  <si>
    <t>POWER USE [MW]</t>
  </si>
  <si>
    <t>INPUT</t>
  </si>
  <si>
    <t>LOOKUP</t>
  </si>
  <si>
    <t>category</t>
  </si>
  <si>
    <t>units</t>
  </si>
  <si>
    <t>project</t>
  </si>
  <si>
    <t>type</t>
  </si>
  <si>
    <t>blocks</t>
  </si>
  <si>
    <t>$K</t>
  </si>
  <si>
    <t>quantity</t>
  </si>
  <si>
    <t>HPC2</t>
  </si>
  <si>
    <t>COLO</t>
  </si>
  <si>
    <t>HPC1</t>
  </si>
  <si>
    <t>RockFish</t>
  </si>
  <si>
    <t>V100-4</t>
  </si>
  <si>
    <t>ARCH</t>
  </si>
  <si>
    <t>HDD</t>
  </si>
  <si>
    <t>SSD</t>
  </si>
  <si>
    <t>L40-8</t>
  </si>
  <si>
    <t>A100-8</t>
  </si>
  <si>
    <t>DSAI P1</t>
  </si>
  <si>
    <t>H100-4</t>
  </si>
  <si>
    <t>H200-8</t>
  </si>
  <si>
    <t>Schmidt</t>
  </si>
  <si>
    <t>--</t>
  </si>
  <si>
    <t xml:space="preserve"> </t>
  </si>
  <si>
    <t>ARCH-2(*)</t>
  </si>
  <si>
    <t>Faculty(*)</t>
  </si>
  <si>
    <t>faculty for row 68 are condos for start ups and others</t>
  </si>
  <si>
    <t>Need to model the schmidt purchase at every 6 months</t>
  </si>
  <si>
    <t>Bayview Quarterly CAPEX</t>
  </si>
  <si>
    <t>adjusted - something in our budget - to estimate for DSAI and other purchases</t>
  </si>
  <si>
    <t>Mt. Washington</t>
  </si>
  <si>
    <t>Enterprise</t>
  </si>
  <si>
    <t>IT</t>
  </si>
  <si>
    <t>(*) Existing equipment updated 2024-12-4</t>
  </si>
  <si>
    <t>Discovery</t>
  </si>
  <si>
    <t>(*) following email from Pat Pflaumer</t>
  </si>
  <si>
    <t>Research</t>
  </si>
  <si>
    <t>DSAI P2</t>
  </si>
  <si>
    <t>Mt. Washington Quarterly CAPEX</t>
  </si>
  <si>
    <t>Existing</t>
  </si>
  <si>
    <t>Bloomberg Quarterly CAPEX</t>
  </si>
  <si>
    <t>this is to account for legacy power (this comes off the calculation)</t>
  </si>
  <si>
    <t>Calendar Years</t>
  </si>
  <si>
    <t>Total available power for new computing</t>
  </si>
  <si>
    <t>IT load used by existing equipment (post Phase I)</t>
  </si>
  <si>
    <t>Total lT load capacity</t>
  </si>
  <si>
    <t>Total mechanical load</t>
  </si>
  <si>
    <t>MARCC</t>
  </si>
  <si>
    <t>IDIES</t>
  </si>
  <si>
    <t>BayView+</t>
  </si>
  <si>
    <t>BV total</t>
  </si>
  <si>
    <t>don't change anything in the helper tables - there are for visualization purposes</t>
  </si>
  <si>
    <t>Helper table for the stairs plot</t>
  </si>
  <si>
    <t xml:space="preserve">Mt Washington facility  - anticipate 24 months to increase by 1.8 </t>
  </si>
  <si>
    <t>Bloomberg facility - anticipate migrating to current Bayview container - and retiring equipment</t>
  </si>
  <si>
    <t>Added Schmidt infrastructure in current Bayview container</t>
  </si>
  <si>
    <t>Added Mt Washington - research storage</t>
  </si>
  <si>
    <t>Note: we need to add some new categories to cover the new equipment - comments in cells</t>
  </si>
  <si>
    <t>The equiment purchased in the later installments can be modified in the yellow cells</t>
  </si>
  <si>
    <t>Estimated electricity rates for 1kW</t>
  </si>
  <si>
    <t>The lifecycle of the installed hardware is shown in cells P4..AK20</t>
  </si>
  <si>
    <t>location</t>
  </si>
  <si>
    <t>$/kW.h</t>
  </si>
  <si>
    <t>$/kW.yr</t>
  </si>
  <si>
    <t>inflation</t>
  </si>
  <si>
    <t>The power of each block is propagated from Col J</t>
  </si>
  <si>
    <t>Add the estimated power for exisiting equipment in the purple cells</t>
  </si>
  <si>
    <t>MTW</t>
  </si>
  <si>
    <t>The spreadsheet calculates the total power (needed and available) for every semester</t>
  </si>
  <si>
    <t>Homewood</t>
  </si>
  <si>
    <t>It also shows the total estimated cost (in 2024 $$)</t>
  </si>
  <si>
    <t>Cooling overhead</t>
  </si>
  <si>
    <t>Hourly</t>
  </si>
  <si>
    <t>*using current rates and 10% inflation every July</t>
  </si>
  <si>
    <t xml:space="preserve"> Annual</t>
  </si>
  <si>
    <t>* source: Rob Anderson email 11/25/24</t>
  </si>
  <si>
    <t>*source TJ Rosson email 11/21/24</t>
  </si>
  <si>
    <t>system</t>
  </si>
  <si>
    <t>per server</t>
  </si>
  <si>
    <t>block</t>
  </si>
  <si>
    <t>name</t>
  </si>
  <si>
    <t>build</t>
  </si>
  <si>
    <t>price</t>
  </si>
  <si>
    <t>[kW]</t>
  </si>
  <si>
    <t>GPU..</t>
  </si>
  <si>
    <t>qty</t>
  </si>
  <si>
    <t>power[MW]</t>
  </si>
  <si>
    <t>capex</t>
  </si>
  <si>
    <t>opex [$K]</t>
  </si>
  <si>
    <t>GPU/CPU</t>
  </si>
  <si>
    <t>unit</t>
  </si>
  <si>
    <t>SMC</t>
  </si>
  <si>
    <t>Lenovo</t>
  </si>
  <si>
    <t>H100-8</t>
  </si>
  <si>
    <t>Dell</t>
  </si>
  <si>
    <t>NVL72</t>
  </si>
  <si>
    <t>Nvidia</t>
  </si>
  <si>
    <t>core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</si>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</sst>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"/>
    <numFmt numFmtId="165" formatCode="_(&quot;$&quot;* #,##0.0_);_(&quot;$&quot;* \(#,##0.0\);_(&quot;$&quot;* &quot;-&quot;?_);_(@_)"/>
    <numFmt numFmtId="166" formatCode="&quot;$&quot;#,##0"/>
    <numFmt numFmtId="167" formatCode="0.000"/>
    <numFmt numFmtId="168" formatCode="#,##0.0"/>
    <numFmt numFmtId="169" formatCode="_(&quot;$&quot;* #,##0.0000_);_(&quot;$&quot;* \(#,##0.0000\);_(&quot;$&quot;* &quot;-&quot;??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"/>
      <family val="2"/>
    </font>
    <font>
      <b/>
      <sz val="16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1">
    <xf numFmtId="0" fontId="0" fillId="0" borderId="0" xfId="0"/>
    <xf numFmtId="42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42" fontId="0" fillId="0" borderId="1" xfId="1" applyNumberFormat="1" applyFont="1" applyBorder="1"/>
    <xf numFmtId="2" fontId="0" fillId="0" borderId="1" xfId="1" applyNumberFormat="1" applyFont="1" applyBorder="1"/>
    <xf numFmtId="42" fontId="0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/>
    <xf numFmtId="42" fontId="0" fillId="0" borderId="0" xfId="1" applyNumberFormat="1" applyFont="1" applyBorder="1"/>
    <xf numFmtId="165" fontId="0" fillId="0" borderId="0" xfId="1" applyNumberFormat="1" applyFont="1" applyBorder="1"/>
    <xf numFmtId="164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0" fontId="0" fillId="5" borderId="1" xfId="0" applyFill="1" applyBorder="1"/>
    <xf numFmtId="44" fontId="0" fillId="0" borderId="0" xfId="0" applyNumberFormat="1"/>
    <xf numFmtId="2" fontId="0" fillId="0" borderId="0" xfId="0" applyNumberFormat="1"/>
    <xf numFmtId="2" fontId="3" fillId="0" borderId="1" xfId="0" applyNumberFormat="1" applyFont="1" applyBorder="1"/>
    <xf numFmtId="2" fontId="0" fillId="6" borderId="1" xfId="0" applyNumberFormat="1" applyFill="1" applyBorder="1"/>
    <xf numFmtId="0" fontId="0" fillId="3" borderId="1" xfId="0" applyFill="1" applyBorder="1"/>
    <xf numFmtId="2" fontId="0" fillId="7" borderId="1" xfId="0" applyNumberFormat="1" applyFill="1" applyBorder="1"/>
    <xf numFmtId="2" fontId="0" fillId="6" borderId="4" xfId="0" applyNumberFormat="1" applyFill="1" applyBorder="1"/>
    <xf numFmtId="0" fontId="0" fillId="5" borderId="4" xfId="0" applyFill="1" applyBorder="1"/>
    <xf numFmtId="1" fontId="0" fillId="0" borderId="0" xfId="0" applyNumberFormat="1"/>
    <xf numFmtId="42" fontId="0" fillId="0" borderId="0" xfId="1" applyNumberFormat="1" applyFont="1" applyFill="1" applyBorder="1"/>
    <xf numFmtId="2" fontId="0" fillId="0" borderId="0" xfId="1" applyNumberFormat="1" applyFont="1" applyFill="1" applyBorder="1"/>
    <xf numFmtId="2" fontId="0" fillId="0" borderId="0" xfId="1" applyNumberFormat="1" applyFont="1" applyBorder="1"/>
    <xf numFmtId="42" fontId="0" fillId="0" borderId="0" xfId="1" applyNumberFormat="1" applyFont="1" applyAlignment="1">
      <alignment horizontal="center"/>
    </xf>
    <xf numFmtId="42" fontId="0" fillId="0" borderId="0" xfId="1" applyNumberFormat="1" applyFont="1" applyBorder="1" applyAlignment="1">
      <alignment horizontal="center"/>
    </xf>
    <xf numFmtId="42" fontId="0" fillId="0" borderId="1" xfId="1" applyNumberFormat="1" applyFont="1" applyBorder="1" applyAlignment="1">
      <alignment horizontal="center"/>
    </xf>
    <xf numFmtId="42" fontId="0" fillId="0" borderId="0" xfId="1" applyNumberFormat="1" applyFont="1" applyFill="1" applyBorder="1" applyAlignment="1">
      <alignment horizontal="center"/>
    </xf>
    <xf numFmtId="2" fontId="0" fillId="0" borderId="0" xfId="1" applyNumberFormat="1" applyFont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165" fontId="0" fillId="0" borderId="12" xfId="1" applyNumberFormat="1" applyFont="1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165" fontId="0" fillId="0" borderId="17" xfId="1" applyNumberFormat="1" applyFont="1" applyBorder="1"/>
    <xf numFmtId="2" fontId="0" fillId="2" borderId="1" xfId="1" applyNumberFormat="1" applyFont="1" applyFill="1" applyBorder="1" applyAlignment="1">
      <alignment horizontal="center"/>
    </xf>
    <xf numFmtId="42" fontId="0" fillId="0" borderId="13" xfId="1" applyNumberFormat="1" applyFont="1" applyBorder="1"/>
    <xf numFmtId="42" fontId="0" fillId="0" borderId="15" xfId="1" applyNumberFormat="1" applyFont="1" applyBorder="1"/>
    <xf numFmtId="42" fontId="0" fillId="0" borderId="18" xfId="1" applyNumberFormat="1" applyFont="1" applyBorder="1"/>
    <xf numFmtId="3" fontId="0" fillId="0" borderId="0" xfId="0" applyNumberFormat="1"/>
    <xf numFmtId="3" fontId="0" fillId="2" borderId="1" xfId="0" applyNumberFormat="1" applyFill="1" applyBorder="1" applyAlignment="1">
      <alignment horizontal="center"/>
    </xf>
    <xf numFmtId="3" fontId="0" fillId="0" borderId="1" xfId="0" applyNumberFormat="1" applyBorder="1"/>
    <xf numFmtId="0" fontId="0" fillId="0" borderId="1" xfId="0" quotePrefix="1" applyBorder="1"/>
    <xf numFmtId="2" fontId="0" fillId="0" borderId="0" xfId="0" applyNumberFormat="1" applyAlignment="1">
      <alignment horizontal="right"/>
    </xf>
    <xf numFmtId="167" fontId="0" fillId="0" borderId="1" xfId="0" applyNumberFormat="1" applyBorder="1"/>
    <xf numFmtId="166" fontId="0" fillId="0" borderId="0" xfId="1" applyNumberFormat="1" applyFont="1" applyBorder="1" applyAlignment="1">
      <alignment horizontal="right"/>
    </xf>
    <xf numFmtId="166" fontId="0" fillId="0" borderId="0" xfId="1" applyNumberFormat="1" applyFont="1" applyAlignment="1">
      <alignment horizontal="right"/>
    </xf>
    <xf numFmtId="166" fontId="0" fillId="0" borderId="0" xfId="1" applyNumberFormat="1" applyFont="1" applyBorder="1" applyAlignment="1">
      <alignment horizontal="right" vertical="center"/>
    </xf>
    <xf numFmtId="2" fontId="2" fillId="8" borderId="1" xfId="0" applyNumberFormat="1" applyFont="1" applyFill="1" applyBorder="1" applyAlignment="1">
      <alignment horizontal="center"/>
    </xf>
    <xf numFmtId="2" fontId="2" fillId="8" borderId="1" xfId="0" applyNumberFormat="1" applyFont="1" applyFill="1" applyBorder="1"/>
    <xf numFmtId="2" fontId="2" fillId="8" borderId="1" xfId="0" applyNumberFormat="1" applyFont="1" applyFill="1" applyBorder="1" applyAlignment="1">
      <alignment horizontal="right"/>
    </xf>
    <xf numFmtId="166" fontId="2" fillId="8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/>
    <xf numFmtId="2" fontId="0" fillId="0" borderId="2" xfId="0" applyNumberFormat="1" applyBorder="1"/>
    <xf numFmtId="42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0" xfId="1" applyNumberFormat="1" applyFont="1" applyBorder="1" applyAlignment="1">
      <alignment horizontal="right"/>
    </xf>
    <xf numFmtId="3" fontId="0" fillId="0" borderId="0" xfId="1" applyNumberFormat="1" applyFont="1" applyAlignment="1">
      <alignment horizontal="right"/>
    </xf>
    <xf numFmtId="3" fontId="0" fillId="0" borderId="0" xfId="1" applyNumberFormat="1" applyFont="1" applyBorder="1" applyAlignment="1">
      <alignment horizontal="right" vertical="center"/>
    </xf>
    <xf numFmtId="4" fontId="2" fillId="8" borderId="1" xfId="0" applyNumberFormat="1" applyFont="1" applyFill="1" applyBorder="1" applyAlignment="1">
      <alignment horizontal="right"/>
    </xf>
    <xf numFmtId="2" fontId="2" fillId="8" borderId="2" xfId="0" applyNumberFormat="1" applyFont="1" applyFill="1" applyBorder="1" applyAlignment="1">
      <alignment horizontal="center"/>
    </xf>
    <xf numFmtId="166" fontId="2" fillId="8" borderId="2" xfId="1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1" fontId="2" fillId="9" borderId="2" xfId="0" applyNumberFormat="1" applyFont="1" applyFill="1" applyBorder="1" applyAlignment="1">
      <alignment horizontal="center"/>
    </xf>
    <xf numFmtId="42" fontId="2" fillId="9" borderId="1" xfId="1" applyNumberFormat="1" applyFont="1" applyFill="1" applyBorder="1"/>
    <xf numFmtId="1" fontId="2" fillId="9" borderId="1" xfId="0" applyNumberFormat="1" applyFont="1" applyFill="1" applyBorder="1"/>
    <xf numFmtId="3" fontId="2" fillId="8" borderId="7" xfId="1" applyNumberFormat="1" applyFont="1" applyFill="1" applyBorder="1" applyAlignment="1">
      <alignment horizontal="center"/>
    </xf>
    <xf numFmtId="167" fontId="0" fillId="0" borderId="4" xfId="0" applyNumberFormat="1" applyBorder="1"/>
    <xf numFmtId="2" fontId="6" fillId="4" borderId="1" xfId="0" applyNumberFormat="1" applyFont="1" applyFill="1" applyBorder="1"/>
    <xf numFmtId="1" fontId="2" fillId="9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9" borderId="5" xfId="0" applyFont="1" applyFill="1" applyBorder="1" applyAlignment="1">
      <alignment horizontal="center"/>
    </xf>
    <xf numFmtId="2" fontId="0" fillId="0" borderId="12" xfId="0" applyNumberFormat="1" applyBorder="1"/>
    <xf numFmtId="2" fontId="0" fillId="0" borderId="17" xfId="0" applyNumberFormat="1" applyBorder="1"/>
    <xf numFmtId="2" fontId="0" fillId="2" borderId="1" xfId="0" applyNumberFormat="1" applyFill="1" applyBorder="1" applyAlignment="1">
      <alignment horizontal="center"/>
    </xf>
    <xf numFmtId="2" fontId="0" fillId="0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44" fontId="0" fillId="0" borderId="0" xfId="1" applyFont="1"/>
    <xf numFmtId="44" fontId="0" fillId="2" borderId="1" xfId="1" applyFont="1" applyFill="1" applyBorder="1" applyAlignment="1">
      <alignment horizontal="center"/>
    </xf>
    <xf numFmtId="44" fontId="0" fillId="0" borderId="1" xfId="1" applyFont="1" applyBorder="1"/>
    <xf numFmtId="44" fontId="0" fillId="0" borderId="0" xfId="1" applyFont="1" applyFill="1" applyBorder="1"/>
    <xf numFmtId="167" fontId="2" fillId="4" borderId="1" xfId="0" applyNumberFormat="1" applyFont="1" applyFill="1" applyBorder="1"/>
    <xf numFmtId="167" fontId="0" fillId="3" borderId="1" xfId="0" applyNumberFormat="1" applyFill="1" applyBorder="1"/>
    <xf numFmtId="167" fontId="0" fillId="0" borderId="2" xfId="0" applyNumberFormat="1" applyBorder="1"/>
    <xf numFmtId="167" fontId="0" fillId="0" borderId="0" xfId="0" applyNumberFormat="1"/>
    <xf numFmtId="167" fontId="0" fillId="0" borderId="0" xfId="0" applyNumberFormat="1" applyAlignment="1">
      <alignment horizontal="center"/>
    </xf>
    <xf numFmtId="3" fontId="0" fillId="0" borderId="0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3" fontId="1" fillId="0" borderId="1" xfId="1" applyNumberFormat="1" applyFont="1" applyFill="1" applyBorder="1" applyAlignment="1">
      <alignment horizontal="left"/>
    </xf>
    <xf numFmtId="2" fontId="8" fillId="0" borderId="1" xfId="0" applyNumberFormat="1" applyFont="1" applyBorder="1"/>
    <xf numFmtId="167" fontId="8" fillId="0" borderId="1" xfId="0" applyNumberFormat="1" applyFont="1" applyBorder="1"/>
    <xf numFmtId="167" fontId="8" fillId="3" borderId="1" xfId="0" applyNumberFormat="1" applyFont="1" applyFill="1" applyBorder="1"/>
    <xf numFmtId="2" fontId="8" fillId="0" borderId="2" xfId="0" applyNumberFormat="1" applyFont="1" applyBorder="1"/>
    <xf numFmtId="2" fontId="8" fillId="0" borderId="0" xfId="0" applyNumberFormat="1" applyFont="1"/>
    <xf numFmtId="167" fontId="8" fillId="0" borderId="0" xfId="0" applyNumberFormat="1" applyFont="1"/>
    <xf numFmtId="42" fontId="0" fillId="0" borderId="0" xfId="0" applyNumberFormat="1"/>
    <xf numFmtId="42" fontId="0" fillId="0" borderId="0" xfId="1" applyNumberFormat="1" applyFont="1" applyBorder="1" applyAlignment="1">
      <alignment horizontal="right"/>
    </xf>
    <xf numFmtId="42" fontId="0" fillId="0" borderId="0" xfId="1" applyNumberFormat="1" applyFont="1" applyAlignment="1">
      <alignment horizontal="right"/>
    </xf>
    <xf numFmtId="42" fontId="0" fillId="0" borderId="0" xfId="1" applyNumberFormat="1" applyFont="1" applyBorder="1" applyAlignment="1">
      <alignment horizontal="right" vertical="center"/>
    </xf>
    <xf numFmtId="42" fontId="2" fillId="8" borderId="2" xfId="1" applyNumberFormat="1" applyFont="1" applyFill="1" applyBorder="1" applyAlignment="1">
      <alignment horizontal="center"/>
    </xf>
    <xf numFmtId="42" fontId="2" fillId="8" borderId="1" xfId="0" applyNumberFormat="1" applyFont="1" applyFill="1" applyBorder="1" applyAlignment="1">
      <alignment horizontal="right"/>
    </xf>
    <xf numFmtId="42" fontId="0" fillId="0" borderId="1" xfId="0" applyNumberFormat="1" applyBorder="1"/>
    <xf numFmtId="3" fontId="2" fillId="8" borderId="1" xfId="0" applyNumberFormat="1" applyFont="1" applyFill="1" applyBorder="1" applyAlignment="1">
      <alignment horizontal="right"/>
    </xf>
    <xf numFmtId="42" fontId="0" fillId="10" borderId="1" xfId="0" applyNumberFormat="1" applyFill="1" applyBorder="1"/>
    <xf numFmtId="1" fontId="0" fillId="10" borderId="1" xfId="0" applyNumberFormat="1" applyFill="1" applyBorder="1"/>
    <xf numFmtId="2" fontId="0" fillId="10" borderId="1" xfId="0" applyNumberFormat="1" applyFill="1" applyBorder="1"/>
    <xf numFmtId="3" fontId="0" fillId="10" borderId="1" xfId="0" applyNumberFormat="1" applyFill="1" applyBorder="1"/>
    <xf numFmtId="168" fontId="0" fillId="0" borderId="1" xfId="0" applyNumberFormat="1" applyBorder="1"/>
    <xf numFmtId="2" fontId="6" fillId="2" borderId="1" xfId="0" applyNumberFormat="1" applyFont="1" applyFill="1" applyBorder="1"/>
    <xf numFmtId="164" fontId="2" fillId="2" borderId="1" xfId="0" applyNumberFormat="1" applyFont="1" applyFill="1" applyBorder="1"/>
    <xf numFmtId="3" fontId="2" fillId="11" borderId="3" xfId="1" applyNumberFormat="1" applyFont="1" applyFill="1" applyBorder="1" applyAlignment="1">
      <alignment horizontal="center" vertical="center" wrapText="1"/>
    </xf>
    <xf numFmtId="2" fontId="9" fillId="11" borderId="1" xfId="0" applyNumberFormat="1" applyFont="1" applyFill="1" applyBorder="1"/>
    <xf numFmtId="2" fontId="0" fillId="11" borderId="1" xfId="0" applyNumberFormat="1" applyFill="1" applyBorder="1"/>
    <xf numFmtId="167" fontId="2" fillId="11" borderId="1" xfId="0" applyNumberFormat="1" applyFont="1" applyFill="1" applyBorder="1"/>
    <xf numFmtId="42" fontId="0" fillId="10" borderId="1" xfId="0" applyNumberFormat="1" applyFill="1" applyBorder="1" applyAlignment="1">
      <alignment vertic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42" fontId="0" fillId="0" borderId="1" xfId="1" applyNumberFormat="1" applyFont="1" applyBorder="1" applyAlignment="1">
      <alignment horizontal="right"/>
    </xf>
    <xf numFmtId="3" fontId="0" fillId="0" borderId="1" xfId="1" applyNumberFormat="1" applyFont="1" applyBorder="1" applyAlignment="1">
      <alignment horizontal="right"/>
    </xf>
    <xf numFmtId="2" fontId="6" fillId="2" borderId="2" xfId="0" applyNumberFormat="1" applyFont="1" applyFill="1" applyBorder="1"/>
    <xf numFmtId="3" fontId="0" fillId="2" borderId="1" xfId="1" applyNumberFormat="1" applyFont="1" applyFill="1" applyBorder="1" applyAlignment="1">
      <alignment horizontal="right"/>
    </xf>
    <xf numFmtId="2" fontId="9" fillId="2" borderId="2" xfId="0" applyNumberFormat="1" applyFont="1" applyFill="1" applyBorder="1"/>
    <xf numFmtId="3" fontId="2" fillId="0" borderId="0" xfId="1" applyNumberFormat="1" applyFont="1" applyFill="1" applyBorder="1" applyAlignment="1">
      <alignment horizontal="center" vertical="center" wrapText="1"/>
    </xf>
    <xf numFmtId="3" fontId="1" fillId="0" borderId="0" xfId="1" applyNumberFormat="1" applyFont="1" applyFill="1" applyBorder="1" applyAlignment="1">
      <alignment horizontal="left"/>
    </xf>
    <xf numFmtId="3" fontId="2" fillId="8" borderId="1" xfId="1" applyNumberFormat="1" applyFont="1" applyFill="1" applyBorder="1" applyAlignment="1">
      <alignment horizontal="center" vertical="center" wrapText="1"/>
    </xf>
    <xf numFmtId="2" fontId="9" fillId="8" borderId="1" xfId="0" applyNumberFormat="1" applyFont="1" applyFill="1" applyBorder="1"/>
    <xf numFmtId="2" fontId="1" fillId="8" borderId="1" xfId="1" applyNumberFormat="1" applyFont="1" applyFill="1" applyBorder="1" applyAlignment="1">
      <alignment horizontal="left"/>
    </xf>
    <xf numFmtId="2" fontId="0" fillId="8" borderId="1" xfId="0" applyNumberFormat="1" applyFill="1" applyBorder="1"/>
    <xf numFmtId="3" fontId="0" fillId="0" borderId="1" xfId="1" applyNumberFormat="1" applyFont="1" applyFill="1" applyBorder="1" applyAlignment="1">
      <alignment horizontal="right"/>
    </xf>
    <xf numFmtId="2" fontId="9" fillId="0" borderId="1" xfId="0" applyNumberFormat="1" applyFont="1" applyBorder="1"/>
    <xf numFmtId="2" fontId="9" fillId="2" borderId="19" xfId="0" applyNumberFormat="1" applyFont="1" applyFill="1" applyBorder="1"/>
    <xf numFmtId="42" fontId="0" fillId="10" borderId="1" xfId="0" applyNumberFormat="1" applyFill="1" applyBorder="1" applyAlignment="1">
      <alignment horizontal="center"/>
    </xf>
    <xf numFmtId="164" fontId="2" fillId="8" borderId="2" xfId="0" applyNumberFormat="1" applyFont="1" applyFill="1" applyBorder="1" applyAlignment="1">
      <alignment horizontal="center"/>
    </xf>
    <xf numFmtId="164" fontId="2" fillId="8" borderId="1" xfId="0" applyNumberFormat="1" applyFont="1" applyFill="1" applyBorder="1"/>
    <xf numFmtId="164" fontId="0" fillId="10" borderId="1" xfId="0" applyNumberFormat="1" applyFill="1" applyBorder="1"/>
    <xf numFmtId="3" fontId="2" fillId="13" borderId="3" xfId="1" applyNumberFormat="1" applyFont="1" applyFill="1" applyBorder="1" applyAlignment="1">
      <alignment horizontal="center" vertical="center" wrapText="1"/>
    </xf>
    <xf numFmtId="2" fontId="9" fillId="13" borderId="1" xfId="0" applyNumberFormat="1" applyFont="1" applyFill="1" applyBorder="1"/>
    <xf numFmtId="164" fontId="2" fillId="13" borderId="1" xfId="0" applyNumberFormat="1" applyFont="1" applyFill="1" applyBorder="1"/>
    <xf numFmtId="167" fontId="2" fillId="14" borderId="1" xfId="0" applyNumberFormat="1" applyFont="1" applyFill="1" applyBorder="1"/>
    <xf numFmtId="3" fontId="2" fillId="14" borderId="0" xfId="1" applyNumberFormat="1" applyFont="1" applyFill="1" applyBorder="1" applyAlignment="1">
      <alignment horizontal="right" vertical="center"/>
    </xf>
    <xf numFmtId="0" fontId="2" fillId="14" borderId="0" xfId="0" applyFont="1" applyFill="1"/>
    <xf numFmtId="3" fontId="0" fillId="14" borderId="0" xfId="1" applyNumberFormat="1" applyFont="1" applyFill="1" applyBorder="1" applyAlignment="1">
      <alignment horizontal="right" vertical="center"/>
    </xf>
    <xf numFmtId="167" fontId="0" fillId="14" borderId="0" xfId="0" applyNumberFormat="1" applyFill="1"/>
    <xf numFmtId="2" fontId="6" fillId="14" borderId="1" xfId="0" applyNumberFormat="1" applyFont="1" applyFill="1" applyBorder="1"/>
    <xf numFmtId="2" fontId="6" fillId="0" borderId="1" xfId="0" applyNumberFormat="1" applyFont="1" applyBorder="1"/>
    <xf numFmtId="0" fontId="8" fillId="0" borderId="0" xfId="0" applyFont="1"/>
    <xf numFmtId="3" fontId="2" fillId="15" borderId="3" xfId="1" applyNumberFormat="1" applyFont="1" applyFill="1" applyBorder="1" applyAlignment="1">
      <alignment horizontal="center" vertical="center" wrapText="1"/>
    </xf>
    <xf numFmtId="2" fontId="9" fillId="15" borderId="1" xfId="0" applyNumberFormat="1" applyFont="1" applyFill="1" applyBorder="1"/>
    <xf numFmtId="2" fontId="0" fillId="15" borderId="1" xfId="0" applyNumberFormat="1" applyFill="1" applyBorder="1"/>
    <xf numFmtId="167" fontId="2" fillId="15" borderId="1" xfId="0" applyNumberFormat="1" applyFont="1" applyFill="1" applyBorder="1"/>
    <xf numFmtId="3" fontId="0" fillId="0" borderId="0" xfId="1" applyNumberFormat="1" applyFont="1" applyAlignment="1">
      <alignment horizontal="left"/>
    </xf>
    <xf numFmtId="3" fontId="2" fillId="0" borderId="0" xfId="1" applyNumberFormat="1" applyFont="1" applyBorder="1" applyAlignment="1">
      <alignment vertical="center"/>
    </xf>
    <xf numFmtId="3" fontId="2" fillId="2" borderId="1" xfId="1" applyNumberFormat="1" applyFont="1" applyFill="1" applyBorder="1" applyAlignment="1">
      <alignment horizontal="center" vertical="center"/>
    </xf>
    <xf numFmtId="169" fontId="0" fillId="3" borderId="1" xfId="1" applyNumberFormat="1" applyFont="1" applyFill="1" applyBorder="1"/>
    <xf numFmtId="169" fontId="12" fillId="3" borderId="1" xfId="1" applyNumberFormat="1" applyFont="1" applyFill="1" applyBorder="1"/>
    <xf numFmtId="169" fontId="0" fillId="0" borderId="0" xfId="0" applyNumberFormat="1"/>
    <xf numFmtId="169" fontId="0" fillId="3" borderId="1" xfId="0" applyNumberFormat="1" applyFill="1" applyBorder="1"/>
    <xf numFmtId="169" fontId="0" fillId="0" borderId="0" xfId="0" applyNumberFormat="1" applyAlignment="1">
      <alignment horizontal="center"/>
    </xf>
    <xf numFmtId="169" fontId="0" fillId="0" borderId="0" xfId="1" applyNumberFormat="1" applyFont="1" applyAlignment="1">
      <alignment horizontal="center"/>
    </xf>
    <xf numFmtId="169" fontId="0" fillId="0" borderId="0" xfId="1" applyNumberFormat="1" applyFont="1"/>
    <xf numFmtId="169" fontId="0" fillId="0" borderId="1" xfId="0" applyNumberFormat="1" applyBorder="1"/>
    <xf numFmtId="3" fontId="0" fillId="2" borderId="1" xfId="1" applyNumberFormat="1" applyFont="1" applyFill="1" applyBorder="1" applyAlignment="1">
      <alignment horizontal="left"/>
    </xf>
    <xf numFmtId="3" fontId="0" fillId="0" borderId="1" xfId="1" applyNumberFormat="1" applyFont="1" applyFill="1" applyBorder="1" applyAlignment="1">
      <alignment horizontal="left"/>
    </xf>
    <xf numFmtId="3" fontId="0" fillId="0" borderId="1" xfId="1" applyNumberFormat="1" applyFont="1" applyBorder="1" applyAlignment="1">
      <alignment horizontal="left"/>
    </xf>
    <xf numFmtId="169" fontId="0" fillId="0" borderId="1" xfId="1" applyNumberFormat="1" applyFont="1" applyBorder="1"/>
    <xf numFmtId="0" fontId="0" fillId="0" borderId="2" xfId="0" applyBorder="1"/>
    <xf numFmtId="0" fontId="0" fillId="2" borderId="2" xfId="0" applyFill="1" applyBorder="1"/>
    <xf numFmtId="0" fontId="0" fillId="0" borderId="21" xfId="0" applyBorder="1" applyAlignment="1">
      <alignment horizontal="center"/>
    </xf>
    <xf numFmtId="44" fontId="0" fillId="0" borderId="21" xfId="1" applyFont="1" applyBorder="1"/>
    <xf numFmtId="0" fontId="0" fillId="12" borderId="1" xfId="0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2" fontId="0" fillId="12" borderId="1" xfId="0" applyNumberFormat="1" applyFill="1" applyBorder="1"/>
    <xf numFmtId="0" fontId="0" fillId="12" borderId="1" xfId="0" applyFill="1" applyBorder="1"/>
    <xf numFmtId="164" fontId="2" fillId="9" borderId="1" xfId="0" applyNumberFormat="1" applyFont="1" applyFill="1" applyBorder="1"/>
    <xf numFmtId="2" fontId="2" fillId="13" borderId="1" xfId="0" applyNumberFormat="1" applyFont="1" applyFill="1" applyBorder="1"/>
    <xf numFmtId="3" fontId="2" fillId="14" borderId="3" xfId="1" applyNumberFormat="1" applyFont="1" applyFill="1" applyBorder="1" applyAlignment="1">
      <alignment horizontal="right" vertical="center"/>
    </xf>
    <xf numFmtId="166" fontId="0" fillId="0" borderId="0" xfId="1" applyNumberFormat="1" applyFont="1" applyBorder="1" applyAlignment="1">
      <alignment vertical="center"/>
    </xf>
    <xf numFmtId="166" fontId="0" fillId="0" borderId="0" xfId="1" applyNumberFormat="1" applyFont="1" applyBorder="1" applyAlignment="1">
      <alignment horizontal="center" vertical="center"/>
    </xf>
    <xf numFmtId="2" fontId="2" fillId="16" borderId="1" xfId="0" applyNumberFormat="1" applyFont="1" applyFill="1" applyBorder="1" applyAlignment="1">
      <alignment horizontal="center"/>
    </xf>
    <xf numFmtId="2" fontId="2" fillId="16" borderId="1" xfId="0" applyNumberFormat="1" applyFont="1" applyFill="1" applyBorder="1"/>
    <xf numFmtId="2" fontId="2" fillId="16" borderId="1" xfId="0" applyNumberFormat="1" applyFont="1" applyFill="1" applyBorder="1" applyAlignment="1">
      <alignment horizontal="right"/>
    </xf>
    <xf numFmtId="166" fontId="2" fillId="16" borderId="1" xfId="0" applyNumberFormat="1" applyFont="1" applyFill="1" applyBorder="1" applyAlignment="1">
      <alignment horizontal="right"/>
    </xf>
    <xf numFmtId="3" fontId="2" fillId="16" borderId="1" xfId="0" applyNumberFormat="1" applyFont="1" applyFill="1" applyBorder="1" applyAlignment="1">
      <alignment horizontal="right"/>
    </xf>
    <xf numFmtId="4" fontId="2" fillId="16" borderId="1" xfId="0" applyNumberFormat="1" applyFont="1" applyFill="1" applyBorder="1" applyAlignment="1">
      <alignment horizontal="right"/>
    </xf>
    <xf numFmtId="2" fontId="2" fillId="0" borderId="0" xfId="0" applyNumberFormat="1" applyFont="1"/>
    <xf numFmtId="0" fontId="2" fillId="0" borderId="0" xfId="0" applyFont="1"/>
    <xf numFmtId="14" fontId="0" fillId="0" borderId="0" xfId="0" applyNumberFormat="1"/>
    <xf numFmtId="42" fontId="2" fillId="9" borderId="0" xfId="1" applyNumberFormat="1" applyFont="1" applyFill="1" applyBorder="1"/>
    <xf numFmtId="1" fontId="2" fillId="9" borderId="1" xfId="0" applyNumberFormat="1" applyFont="1" applyFill="1" applyBorder="1" applyAlignment="1">
      <alignment wrapText="1"/>
    </xf>
    <xf numFmtId="2" fontId="8" fillId="7" borderId="1" xfId="0" applyNumberFormat="1" applyFont="1" applyFill="1" applyBorder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3" fontId="2" fillId="0" borderId="1" xfId="1" applyNumberFormat="1" applyFont="1" applyFill="1" applyBorder="1" applyAlignment="1">
      <alignment horizontal="center" vertical="center" wrapText="1"/>
    </xf>
    <xf numFmtId="3" fontId="11" fillId="2" borderId="1" xfId="1" applyNumberFormat="1" applyFont="1" applyFill="1" applyBorder="1" applyAlignment="1">
      <alignment horizontal="center" vertical="center" wrapText="1"/>
    </xf>
    <xf numFmtId="167" fontId="0" fillId="12" borderId="1" xfId="0" applyNumberFormat="1" applyFill="1" applyBorder="1" applyAlignment="1">
      <alignment horizontal="center"/>
    </xf>
    <xf numFmtId="3" fontId="2" fillId="0" borderId="2" xfId="1" applyNumberFormat="1" applyFont="1" applyFill="1" applyBorder="1" applyAlignment="1">
      <alignment horizontal="center" vertical="center" wrapText="1"/>
    </xf>
    <xf numFmtId="3" fontId="2" fillId="0" borderId="20" xfId="1" applyNumberFormat="1" applyFont="1" applyFill="1" applyBorder="1" applyAlignment="1">
      <alignment horizontal="center" vertical="center" wrapText="1"/>
    </xf>
    <xf numFmtId="3" fontId="2" fillId="0" borderId="4" xfId="1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center"/>
    </xf>
    <xf numFmtId="3" fontId="0" fillId="0" borderId="1" xfId="1" applyNumberFormat="1" applyFont="1" applyBorder="1" applyAlignment="1">
      <alignment vertic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3" fontId="2" fillId="4" borderId="3" xfId="1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2" fontId="0" fillId="0" borderId="0" xfId="1" applyNumberFormat="1" applyFont="1" applyBorder="1" applyAlignment="1">
      <alignment horizontal="right" vertical="center"/>
    </xf>
    <xf numFmtId="0" fontId="2" fillId="9" borderId="4" xfId="0" applyFont="1" applyFill="1" applyBorder="1" applyAlignment="1">
      <alignment horizontal="center"/>
    </xf>
    <xf numFmtId="2" fontId="2" fillId="8" borderId="5" xfId="0" applyNumberFormat="1" applyFont="1" applyFill="1" applyBorder="1" applyAlignment="1">
      <alignment horizontal="center"/>
    </xf>
    <xf numFmtId="2" fontId="2" fillId="8" borderId="6" xfId="0" applyNumberFormat="1" applyFont="1" applyFill="1" applyBorder="1" applyAlignment="1">
      <alignment horizontal="center"/>
    </xf>
    <xf numFmtId="2" fontId="2" fillId="8" borderId="3" xfId="0" applyNumberFormat="1" applyFont="1" applyFill="1" applyBorder="1" applyAlignment="1">
      <alignment horizontal="center"/>
    </xf>
    <xf numFmtId="166" fontId="0" fillId="0" borderId="0" xfId="1" applyNumberFormat="1" applyFont="1" applyBorder="1" applyAlignment="1">
      <alignment horizontal="right" vertic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  <color rgb="FFFFC1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Power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8.7628610250672284E-2"/>
          <c:w val="0.75322419072615909"/>
          <c:h val="0.7068004182768286"/>
        </c:manualLayout>
      </c:layout>
      <c:scatterChart>
        <c:scatterStyle val="lineMarker"/>
        <c:varyColors val="0"/>
        <c:ser>
          <c:idx val="0"/>
          <c:order val="0"/>
          <c:tx>
            <c:v>Available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'Baseline Power'!$C$34:$C$81</c:f>
              <c:numCache>
                <c:formatCode>0.00</c:formatCode>
                <c:ptCount val="48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  <c:pt idx="39">
                  <c:v>2029</c:v>
                </c:pt>
                <c:pt idx="40">
                  <c:v>2029</c:v>
                </c:pt>
                <c:pt idx="41">
                  <c:v>2029.25</c:v>
                </c:pt>
                <c:pt idx="42">
                  <c:v>2029.25</c:v>
                </c:pt>
                <c:pt idx="43">
                  <c:v>2029.5</c:v>
                </c:pt>
                <c:pt idx="44">
                  <c:v>2029.5</c:v>
                </c:pt>
                <c:pt idx="45">
                  <c:v>2029.75</c:v>
                </c:pt>
                <c:pt idx="46">
                  <c:v>2029.75</c:v>
                </c:pt>
                <c:pt idx="47">
                  <c:v>2030</c:v>
                </c:pt>
              </c:numCache>
            </c:numRef>
          </c:xVal>
          <c:yVal>
            <c:numRef>
              <c:f>'Baseline Power'!$S$34:$S$81</c:f>
              <c:numCache>
                <c:formatCode>General</c:formatCode>
                <c:ptCount val="48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2.7</c:v>
                </c:pt>
                <c:pt idx="13">
                  <c:v>2.7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10.3</c:v>
                </c:pt>
                <c:pt idx="33">
                  <c:v>10.3</c:v>
                </c:pt>
                <c:pt idx="34">
                  <c:v>9.85</c:v>
                </c:pt>
                <c:pt idx="35">
                  <c:v>9.85</c:v>
                </c:pt>
                <c:pt idx="36">
                  <c:v>9.85</c:v>
                </c:pt>
                <c:pt idx="37">
                  <c:v>9.85</c:v>
                </c:pt>
                <c:pt idx="38">
                  <c:v>9.85</c:v>
                </c:pt>
                <c:pt idx="39">
                  <c:v>9.85</c:v>
                </c:pt>
                <c:pt idx="40">
                  <c:v>9.85</c:v>
                </c:pt>
                <c:pt idx="41">
                  <c:v>9.85</c:v>
                </c:pt>
                <c:pt idx="42">
                  <c:v>9.85</c:v>
                </c:pt>
                <c:pt idx="43">
                  <c:v>9.85</c:v>
                </c:pt>
                <c:pt idx="44">
                  <c:v>9.85</c:v>
                </c:pt>
                <c:pt idx="45">
                  <c:v>9.85</c:v>
                </c:pt>
                <c:pt idx="46">
                  <c:v>9.85</c:v>
                </c:pt>
                <c:pt idx="47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1-477C-BF82-181F78ECD905}"/>
            </c:ext>
          </c:extLst>
        </c:ser>
        <c:ser>
          <c:idx val="1"/>
          <c:order val="1"/>
          <c:tx>
            <c:strRef>
              <c:f>'Model Summary'!$AO$2:$AP$2</c:f>
              <c:strCache>
                <c:ptCount val="2"/>
                <c:pt idx="0">
                  <c:v>Used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'Model Summary'!$AO$4:$AO$49</c:f>
              <c:numCache>
                <c:formatCode>0.00</c:formatCode>
                <c:ptCount val="46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</c:numCache>
            </c:numRef>
          </c:xVal>
          <c:yVal>
            <c:numRef>
              <c:f>'Model Summary'!$AP$4:$AP$49</c:f>
              <c:numCache>
                <c:formatCode>0.000</c:formatCode>
                <c:ptCount val="46"/>
                <c:pt idx="0">
                  <c:v>1.8045285714285715</c:v>
                </c:pt>
                <c:pt idx="1">
                  <c:v>1.8045285714285715</c:v>
                </c:pt>
                <c:pt idx="2">
                  <c:v>1.8045285714285715</c:v>
                </c:pt>
                <c:pt idx="3">
                  <c:v>1.8045285714285715</c:v>
                </c:pt>
                <c:pt idx="4">
                  <c:v>1.9559571428571432</c:v>
                </c:pt>
                <c:pt idx="5">
                  <c:v>1.9559571428571432</c:v>
                </c:pt>
                <c:pt idx="6">
                  <c:v>2.2838428571428575</c:v>
                </c:pt>
                <c:pt idx="7">
                  <c:v>2.2838428571428575</c:v>
                </c:pt>
                <c:pt idx="8">
                  <c:v>2.2838428571428575</c:v>
                </c:pt>
                <c:pt idx="9">
                  <c:v>2.2838428571428575</c:v>
                </c:pt>
                <c:pt idx="10">
                  <c:v>2.2838428571428575</c:v>
                </c:pt>
                <c:pt idx="11">
                  <c:v>2.2838428571428575</c:v>
                </c:pt>
                <c:pt idx="12">
                  <c:v>2.3484285714285718</c:v>
                </c:pt>
                <c:pt idx="13">
                  <c:v>2.3484285714285718</c:v>
                </c:pt>
                <c:pt idx="14">
                  <c:v>2.5695714285714288</c:v>
                </c:pt>
                <c:pt idx="15">
                  <c:v>2.5695714285714288</c:v>
                </c:pt>
                <c:pt idx="16">
                  <c:v>2.5695714285714288</c:v>
                </c:pt>
                <c:pt idx="17">
                  <c:v>2.5695714285714288</c:v>
                </c:pt>
                <c:pt idx="18">
                  <c:v>2.5695714285714288</c:v>
                </c:pt>
                <c:pt idx="19">
                  <c:v>2.5695714285714288</c:v>
                </c:pt>
                <c:pt idx="20">
                  <c:v>2.5695714285714288</c:v>
                </c:pt>
                <c:pt idx="21">
                  <c:v>2.5695714285714288</c:v>
                </c:pt>
                <c:pt idx="22">
                  <c:v>2.5695714285714288</c:v>
                </c:pt>
                <c:pt idx="23">
                  <c:v>2.5695714285714288</c:v>
                </c:pt>
                <c:pt idx="24">
                  <c:v>2.5695714285714288</c:v>
                </c:pt>
                <c:pt idx="25">
                  <c:v>2.5695714285714288</c:v>
                </c:pt>
                <c:pt idx="26">
                  <c:v>1.3074428571428574</c:v>
                </c:pt>
                <c:pt idx="27">
                  <c:v>1.3074428571428574</c:v>
                </c:pt>
                <c:pt idx="28">
                  <c:v>1.3074428571428574</c:v>
                </c:pt>
                <c:pt idx="29">
                  <c:v>1.3074428571428574</c:v>
                </c:pt>
                <c:pt idx="30">
                  <c:v>1.3074428571428574</c:v>
                </c:pt>
                <c:pt idx="31">
                  <c:v>1.3074428571428574</c:v>
                </c:pt>
                <c:pt idx="32">
                  <c:v>1.3074428571428574</c:v>
                </c:pt>
                <c:pt idx="33">
                  <c:v>1.3074428571428574</c:v>
                </c:pt>
                <c:pt idx="34">
                  <c:v>1.3074428571428574</c:v>
                </c:pt>
                <c:pt idx="35">
                  <c:v>1.3074428571428574</c:v>
                </c:pt>
                <c:pt idx="36">
                  <c:v>0.98344285714285729</c:v>
                </c:pt>
                <c:pt idx="37">
                  <c:v>0.98344285714285729</c:v>
                </c:pt>
                <c:pt idx="38">
                  <c:v>0.98344285714285729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1-477C-BF82-181F78EC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230624"/>
        <c:axId val="1716103792"/>
      </c:scatterChart>
      <c:valAx>
        <c:axId val="1898230624"/>
        <c:scaling>
          <c:orientation val="minMax"/>
          <c:max val="20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03792"/>
        <c:crosses val="autoZero"/>
        <c:crossBetween val="midCat"/>
      </c:valAx>
      <c:valAx>
        <c:axId val="17161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3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329746344049173"/>
          <c:y val="0.12985008157820452"/>
          <c:w val="0.14294091167376335"/>
          <c:h val="0.13913195898771691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</a:t>
            </a:r>
          </a:p>
        </c:rich>
      </c:tx>
      <c:layout>
        <c:manualLayout>
          <c:xMode val="edge"/>
          <c:yMode val="edge"/>
          <c:x val="0.82316858366899281"/>
          <c:y val="0.132387739713889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48372124603133E-2"/>
          <c:y val="8.2521691088324536E-2"/>
          <c:w val="0.88471953274763582"/>
          <c:h val="0.65943340827197516"/>
        </c:manualLayout>
      </c:layout>
      <c:barChart>
        <c:barDir val="col"/>
        <c:grouping val="clustered"/>
        <c:varyColors val="0"/>
        <c:ser>
          <c:idx val="1"/>
          <c:order val="1"/>
          <c:tx>
            <c:v>CPU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'Model Summary'!$E$83:$X$83</c:f>
              <c:numCache>
                <c:formatCode>0.00</c:formatCode>
                <c:ptCount val="20"/>
                <c:pt idx="0">
                  <c:v>2024</c:v>
                </c:pt>
                <c:pt idx="1">
                  <c:v>2024.25</c:v>
                </c:pt>
                <c:pt idx="2">
                  <c:v>2024.5</c:v>
                </c:pt>
                <c:pt idx="3">
                  <c:v>2024.75</c:v>
                </c:pt>
                <c:pt idx="4">
                  <c:v>2025</c:v>
                </c:pt>
                <c:pt idx="5">
                  <c:v>2025.25</c:v>
                </c:pt>
                <c:pt idx="6">
                  <c:v>2025.5</c:v>
                </c:pt>
                <c:pt idx="7">
                  <c:v>2025.75</c:v>
                </c:pt>
                <c:pt idx="8">
                  <c:v>2026</c:v>
                </c:pt>
                <c:pt idx="9">
                  <c:v>2026.25</c:v>
                </c:pt>
                <c:pt idx="10">
                  <c:v>2026.5</c:v>
                </c:pt>
                <c:pt idx="11">
                  <c:v>2026.75</c:v>
                </c:pt>
                <c:pt idx="12">
                  <c:v>2027</c:v>
                </c:pt>
                <c:pt idx="13">
                  <c:v>2027.25</c:v>
                </c:pt>
                <c:pt idx="14">
                  <c:v>2027.5</c:v>
                </c:pt>
                <c:pt idx="15">
                  <c:v>2027.75</c:v>
                </c:pt>
                <c:pt idx="16">
                  <c:v>2028</c:v>
                </c:pt>
                <c:pt idx="17">
                  <c:v>2028.25</c:v>
                </c:pt>
                <c:pt idx="18">
                  <c:v>2028.5</c:v>
                </c:pt>
                <c:pt idx="19">
                  <c:v>2028.75</c:v>
                </c:pt>
              </c:numCache>
            </c:numRef>
          </c:cat>
          <c:val>
            <c:numRef>
              <c:f>'Model Summary'!$E$85:$X$85</c:f>
              <c:numCache>
                <c:formatCode>General</c:formatCode>
                <c:ptCount val="20"/>
                <c:pt idx="0">
                  <c:v>72064</c:v>
                </c:pt>
                <c:pt idx="1">
                  <c:v>72064</c:v>
                </c:pt>
                <c:pt idx="2">
                  <c:v>77184</c:v>
                </c:pt>
                <c:pt idx="3">
                  <c:v>87424</c:v>
                </c:pt>
                <c:pt idx="4">
                  <c:v>87424</c:v>
                </c:pt>
                <c:pt idx="5">
                  <c:v>87424</c:v>
                </c:pt>
                <c:pt idx="6">
                  <c:v>89984</c:v>
                </c:pt>
                <c:pt idx="7">
                  <c:v>89984</c:v>
                </c:pt>
                <c:pt idx="8">
                  <c:v>89984</c:v>
                </c:pt>
                <c:pt idx="9">
                  <c:v>89984</c:v>
                </c:pt>
                <c:pt idx="10">
                  <c:v>89984</c:v>
                </c:pt>
                <c:pt idx="11">
                  <c:v>89984</c:v>
                </c:pt>
                <c:pt idx="12">
                  <c:v>89984</c:v>
                </c:pt>
                <c:pt idx="13">
                  <c:v>41984</c:v>
                </c:pt>
                <c:pt idx="14">
                  <c:v>41984</c:v>
                </c:pt>
                <c:pt idx="15">
                  <c:v>41984</c:v>
                </c:pt>
                <c:pt idx="16">
                  <c:v>41984</c:v>
                </c:pt>
                <c:pt idx="17">
                  <c:v>41984</c:v>
                </c:pt>
                <c:pt idx="18">
                  <c:v>31744</c:v>
                </c:pt>
                <c:pt idx="19">
                  <c:v>31744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B-4F3E-B718-3938A1B09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266175"/>
        <c:axId val="1532887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'Model Summary'!$E$83:$X$83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2024</c:v>
                      </c:pt>
                      <c:pt idx="1">
                        <c:v>2024.25</c:v>
                      </c:pt>
                      <c:pt idx="2">
                        <c:v>2024.5</c:v>
                      </c:pt>
                      <c:pt idx="3">
                        <c:v>2024.75</c:v>
                      </c:pt>
                      <c:pt idx="4">
                        <c:v>2025</c:v>
                      </c:pt>
                      <c:pt idx="5">
                        <c:v>2025.25</c:v>
                      </c:pt>
                      <c:pt idx="6">
                        <c:v>2025.5</c:v>
                      </c:pt>
                      <c:pt idx="7">
                        <c:v>2025.75</c:v>
                      </c:pt>
                      <c:pt idx="8">
                        <c:v>2026</c:v>
                      </c:pt>
                      <c:pt idx="9">
                        <c:v>2026.25</c:v>
                      </c:pt>
                      <c:pt idx="10">
                        <c:v>2026.5</c:v>
                      </c:pt>
                      <c:pt idx="11">
                        <c:v>2026.75</c:v>
                      </c:pt>
                      <c:pt idx="12">
                        <c:v>2027</c:v>
                      </c:pt>
                      <c:pt idx="13">
                        <c:v>2027.25</c:v>
                      </c:pt>
                      <c:pt idx="14">
                        <c:v>2027.5</c:v>
                      </c:pt>
                      <c:pt idx="15">
                        <c:v>2027.75</c:v>
                      </c:pt>
                      <c:pt idx="16">
                        <c:v>2028</c:v>
                      </c:pt>
                      <c:pt idx="17">
                        <c:v>2028.25</c:v>
                      </c:pt>
                      <c:pt idx="18">
                        <c:v>2028.5</c:v>
                      </c:pt>
                      <c:pt idx="19">
                        <c:v>2028.75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'Model Summary'!$E$84:$X$84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244</c:v>
                      </c:pt>
                      <c:pt idx="3">
                        <c:v>436</c:v>
                      </c:pt>
                      <c:pt idx="4">
                        <c:v>436</c:v>
                      </c:pt>
                      <c:pt idx="5">
                        <c:v>436</c:v>
                      </c:pt>
                      <c:pt idx="6">
                        <c:v>452</c:v>
                      </c:pt>
                      <c:pt idx="7">
                        <c:v>612</c:v>
                      </c:pt>
                      <c:pt idx="8">
                        <c:v>612</c:v>
                      </c:pt>
                      <c:pt idx="9">
                        <c:v>612</c:v>
                      </c:pt>
                      <c:pt idx="10">
                        <c:v>612</c:v>
                      </c:pt>
                      <c:pt idx="11">
                        <c:v>612</c:v>
                      </c:pt>
                      <c:pt idx="12">
                        <c:v>612</c:v>
                      </c:pt>
                      <c:pt idx="13">
                        <c:v>456</c:v>
                      </c:pt>
                      <c:pt idx="14">
                        <c:v>456</c:v>
                      </c:pt>
                      <c:pt idx="15">
                        <c:v>456</c:v>
                      </c:pt>
                      <c:pt idx="16">
                        <c:v>456</c:v>
                      </c:pt>
                      <c:pt idx="17">
                        <c:v>456</c:v>
                      </c:pt>
                      <c:pt idx="18">
                        <c:v>264</c:v>
                      </c:pt>
                      <c:pt idx="19">
                        <c:v>264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92B-4F3E-B718-3938A1B0973C}"/>
                  </c:ext>
                </c:extLst>
              </c15:ser>
            </c15:filteredBarSeries>
          </c:ext>
        </c:extLst>
      </c:barChart>
      <c:catAx>
        <c:axId val="15326617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88735"/>
        <c:crosses val="autoZero"/>
        <c:auto val="1"/>
        <c:lblAlgn val="ctr"/>
        <c:lblOffset val="100"/>
        <c:noMultiLvlLbl val="0"/>
      </c:catAx>
      <c:valAx>
        <c:axId val="1532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</a:p>
        </c:rich>
      </c:tx>
      <c:layout>
        <c:manualLayout>
          <c:xMode val="edge"/>
          <c:yMode val="edge"/>
          <c:x val="0.88809005431998111"/>
          <c:y val="0.108559648774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48372124603133E-2"/>
          <c:y val="8.2521691088324536E-2"/>
          <c:w val="0.88471953274763582"/>
          <c:h val="0.65943340827197516"/>
        </c:manualLayout>
      </c:layout>
      <c:barChart>
        <c:barDir val="col"/>
        <c:grouping val="clustered"/>
        <c:varyColors val="0"/>
        <c:ser>
          <c:idx val="1"/>
          <c:order val="1"/>
          <c:tx>
            <c:v>CPU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'Model Summary'!$E$83:$X$83</c:f>
              <c:numCache>
                <c:formatCode>0.00</c:formatCode>
                <c:ptCount val="20"/>
                <c:pt idx="0">
                  <c:v>2024</c:v>
                </c:pt>
                <c:pt idx="1">
                  <c:v>2024.25</c:v>
                </c:pt>
                <c:pt idx="2">
                  <c:v>2024.5</c:v>
                </c:pt>
                <c:pt idx="3">
                  <c:v>2024.75</c:v>
                </c:pt>
                <c:pt idx="4">
                  <c:v>2025</c:v>
                </c:pt>
                <c:pt idx="5">
                  <c:v>2025.25</c:v>
                </c:pt>
                <c:pt idx="6">
                  <c:v>2025.5</c:v>
                </c:pt>
                <c:pt idx="7">
                  <c:v>2025.75</c:v>
                </c:pt>
                <c:pt idx="8">
                  <c:v>2026</c:v>
                </c:pt>
                <c:pt idx="9">
                  <c:v>2026.25</c:v>
                </c:pt>
                <c:pt idx="10">
                  <c:v>2026.5</c:v>
                </c:pt>
                <c:pt idx="11">
                  <c:v>2026.75</c:v>
                </c:pt>
                <c:pt idx="12">
                  <c:v>2027</c:v>
                </c:pt>
                <c:pt idx="13">
                  <c:v>2027.25</c:v>
                </c:pt>
                <c:pt idx="14">
                  <c:v>2027.5</c:v>
                </c:pt>
                <c:pt idx="15">
                  <c:v>2027.75</c:v>
                </c:pt>
                <c:pt idx="16">
                  <c:v>2028</c:v>
                </c:pt>
                <c:pt idx="17">
                  <c:v>2028.25</c:v>
                </c:pt>
                <c:pt idx="18">
                  <c:v>2028.5</c:v>
                </c:pt>
                <c:pt idx="19">
                  <c:v>2028.75</c:v>
                </c:pt>
              </c:numCache>
            </c:numRef>
          </c:cat>
          <c:val>
            <c:numRef>
              <c:f>'Model Summary'!$E$84:$X$84</c:f>
              <c:numCache>
                <c:formatCode>General</c:formatCode>
                <c:ptCount val="20"/>
                <c:pt idx="0">
                  <c:v>180</c:v>
                </c:pt>
                <c:pt idx="1">
                  <c:v>180</c:v>
                </c:pt>
                <c:pt idx="2">
                  <c:v>244</c:v>
                </c:pt>
                <c:pt idx="3">
                  <c:v>436</c:v>
                </c:pt>
                <c:pt idx="4">
                  <c:v>436</c:v>
                </c:pt>
                <c:pt idx="5">
                  <c:v>436</c:v>
                </c:pt>
                <c:pt idx="6">
                  <c:v>452</c:v>
                </c:pt>
                <c:pt idx="7">
                  <c:v>612</c:v>
                </c:pt>
                <c:pt idx="8">
                  <c:v>612</c:v>
                </c:pt>
                <c:pt idx="9">
                  <c:v>612</c:v>
                </c:pt>
                <c:pt idx="10">
                  <c:v>612</c:v>
                </c:pt>
                <c:pt idx="11">
                  <c:v>612</c:v>
                </c:pt>
                <c:pt idx="12">
                  <c:v>612</c:v>
                </c:pt>
                <c:pt idx="13">
                  <c:v>456</c:v>
                </c:pt>
                <c:pt idx="14">
                  <c:v>456</c:v>
                </c:pt>
                <c:pt idx="15">
                  <c:v>456</c:v>
                </c:pt>
                <c:pt idx="16">
                  <c:v>456</c:v>
                </c:pt>
                <c:pt idx="17">
                  <c:v>456</c:v>
                </c:pt>
                <c:pt idx="18">
                  <c:v>264</c:v>
                </c:pt>
                <c:pt idx="19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4-42A1-AC8D-78540D676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266175"/>
        <c:axId val="1532887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'Model Summary'!$E$83:$X$83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2024</c:v>
                      </c:pt>
                      <c:pt idx="1">
                        <c:v>2024.25</c:v>
                      </c:pt>
                      <c:pt idx="2">
                        <c:v>2024.5</c:v>
                      </c:pt>
                      <c:pt idx="3">
                        <c:v>2024.75</c:v>
                      </c:pt>
                      <c:pt idx="4">
                        <c:v>2025</c:v>
                      </c:pt>
                      <c:pt idx="5">
                        <c:v>2025.25</c:v>
                      </c:pt>
                      <c:pt idx="6">
                        <c:v>2025.5</c:v>
                      </c:pt>
                      <c:pt idx="7">
                        <c:v>2025.75</c:v>
                      </c:pt>
                      <c:pt idx="8">
                        <c:v>2026</c:v>
                      </c:pt>
                      <c:pt idx="9">
                        <c:v>2026.25</c:v>
                      </c:pt>
                      <c:pt idx="10">
                        <c:v>2026.5</c:v>
                      </c:pt>
                      <c:pt idx="11">
                        <c:v>2026.75</c:v>
                      </c:pt>
                      <c:pt idx="12">
                        <c:v>2027</c:v>
                      </c:pt>
                      <c:pt idx="13">
                        <c:v>2027.25</c:v>
                      </c:pt>
                      <c:pt idx="14">
                        <c:v>2027.5</c:v>
                      </c:pt>
                      <c:pt idx="15">
                        <c:v>2027.75</c:v>
                      </c:pt>
                      <c:pt idx="16">
                        <c:v>2028</c:v>
                      </c:pt>
                      <c:pt idx="17">
                        <c:v>2028.25</c:v>
                      </c:pt>
                      <c:pt idx="18">
                        <c:v>2028.5</c:v>
                      </c:pt>
                      <c:pt idx="19">
                        <c:v>2028.75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'Model Summary'!$E$84:$X$84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244</c:v>
                      </c:pt>
                      <c:pt idx="3">
                        <c:v>436</c:v>
                      </c:pt>
                      <c:pt idx="4">
                        <c:v>436</c:v>
                      </c:pt>
                      <c:pt idx="5">
                        <c:v>436</c:v>
                      </c:pt>
                      <c:pt idx="6">
                        <c:v>452</c:v>
                      </c:pt>
                      <c:pt idx="7">
                        <c:v>612</c:v>
                      </c:pt>
                      <c:pt idx="8">
                        <c:v>612</c:v>
                      </c:pt>
                      <c:pt idx="9">
                        <c:v>612</c:v>
                      </c:pt>
                      <c:pt idx="10">
                        <c:v>612</c:v>
                      </c:pt>
                      <c:pt idx="11">
                        <c:v>612</c:v>
                      </c:pt>
                      <c:pt idx="12">
                        <c:v>612</c:v>
                      </c:pt>
                      <c:pt idx="13">
                        <c:v>456</c:v>
                      </c:pt>
                      <c:pt idx="14">
                        <c:v>456</c:v>
                      </c:pt>
                      <c:pt idx="15">
                        <c:v>456</c:v>
                      </c:pt>
                      <c:pt idx="16">
                        <c:v>456</c:v>
                      </c:pt>
                      <c:pt idx="17">
                        <c:v>456</c:v>
                      </c:pt>
                      <c:pt idx="18">
                        <c:v>264</c:v>
                      </c:pt>
                      <c:pt idx="19">
                        <c:v>264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FC4-42A1-AC8D-78540D676EE8}"/>
                  </c:ext>
                </c:extLst>
              </c15:ser>
            </c15:filteredBarSeries>
          </c:ext>
        </c:extLst>
      </c:barChart>
      <c:catAx>
        <c:axId val="15326617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88735"/>
        <c:crosses val="autoZero"/>
        <c:auto val="1"/>
        <c:lblAlgn val="ctr"/>
        <c:lblOffset val="100"/>
        <c:noMultiLvlLbl val="0"/>
      </c:catAx>
      <c:valAx>
        <c:axId val="1532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8648293963255"/>
          <c:y val="0.16399540107594232"/>
          <c:w val="0.8585579615048119"/>
          <c:h val="0.522159968959169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'Model Summary'!$D$69</c:f>
              <c:strCache>
                <c:ptCount val="1"/>
                <c:pt idx="0">
                  <c:v>total [$k]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'Model Summary'!$E$65:$X$65</c:f>
              <c:numCache>
                <c:formatCode>0.00</c:formatCode>
                <c:ptCount val="20"/>
                <c:pt idx="0">
                  <c:v>2024</c:v>
                </c:pt>
                <c:pt idx="1">
                  <c:v>2024.25</c:v>
                </c:pt>
                <c:pt idx="2">
                  <c:v>2024.5</c:v>
                </c:pt>
                <c:pt idx="3">
                  <c:v>2024.75</c:v>
                </c:pt>
                <c:pt idx="4">
                  <c:v>2025</c:v>
                </c:pt>
                <c:pt idx="5">
                  <c:v>2025.25</c:v>
                </c:pt>
                <c:pt idx="6">
                  <c:v>2025.5</c:v>
                </c:pt>
                <c:pt idx="7">
                  <c:v>2025.75</c:v>
                </c:pt>
                <c:pt idx="8">
                  <c:v>2026</c:v>
                </c:pt>
                <c:pt idx="9">
                  <c:v>2026.25</c:v>
                </c:pt>
                <c:pt idx="10">
                  <c:v>2026.5</c:v>
                </c:pt>
                <c:pt idx="11">
                  <c:v>2026.75</c:v>
                </c:pt>
                <c:pt idx="12">
                  <c:v>2027</c:v>
                </c:pt>
                <c:pt idx="13">
                  <c:v>2027.25</c:v>
                </c:pt>
                <c:pt idx="14">
                  <c:v>2027.5</c:v>
                </c:pt>
                <c:pt idx="15">
                  <c:v>2027.75</c:v>
                </c:pt>
                <c:pt idx="16">
                  <c:v>2028</c:v>
                </c:pt>
                <c:pt idx="17">
                  <c:v>2028.25</c:v>
                </c:pt>
                <c:pt idx="18">
                  <c:v>2028.5</c:v>
                </c:pt>
                <c:pt idx="19">
                  <c:v>2028.75</c:v>
                </c:pt>
              </c:numCache>
            </c:numRef>
          </c:cat>
          <c:val>
            <c:numRef>
              <c:f>'Model Summary'!$E$69:$X$69</c:f>
              <c:numCache>
                <c:formatCode>0.00</c:formatCode>
                <c:ptCount val="20"/>
                <c:pt idx="0">
                  <c:v>259.15196057142862</c:v>
                </c:pt>
                <c:pt idx="1">
                  <c:v>259.15196057142862</c:v>
                </c:pt>
                <c:pt idx="2">
                  <c:v>299.35773257142864</c:v>
                </c:pt>
                <c:pt idx="3">
                  <c:v>385.5260982857144</c:v>
                </c:pt>
                <c:pt idx="4">
                  <c:v>385.5260982857144</c:v>
                </c:pt>
                <c:pt idx="5">
                  <c:v>385.5260982857144</c:v>
                </c:pt>
                <c:pt idx="6">
                  <c:v>418.11367371428588</c:v>
                </c:pt>
                <c:pt idx="7">
                  <c:v>477.76176514285737</c:v>
                </c:pt>
                <c:pt idx="8">
                  <c:v>477.76176514285737</c:v>
                </c:pt>
                <c:pt idx="9">
                  <c:v>477.76176514285737</c:v>
                </c:pt>
                <c:pt idx="10">
                  <c:v>517.52306725714311</c:v>
                </c:pt>
                <c:pt idx="11">
                  <c:v>517.52306725714311</c:v>
                </c:pt>
                <c:pt idx="12">
                  <c:v>517.52306725714311</c:v>
                </c:pt>
                <c:pt idx="13">
                  <c:v>275.1753270857144</c:v>
                </c:pt>
                <c:pt idx="14">
                  <c:v>302.69285979428582</c:v>
                </c:pt>
                <c:pt idx="15">
                  <c:v>302.69285979428582</c:v>
                </c:pt>
                <c:pt idx="16">
                  <c:v>302.69285979428582</c:v>
                </c:pt>
                <c:pt idx="17">
                  <c:v>302.69285979428582</c:v>
                </c:pt>
                <c:pt idx="18">
                  <c:v>208.29813025371436</c:v>
                </c:pt>
                <c:pt idx="19">
                  <c:v>208.29813025371436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B-4A4E-A34A-D2CD97BED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7852688"/>
        <c:axId val="977847408"/>
      </c:barChart>
      <c:catAx>
        <c:axId val="97785268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47408"/>
        <c:crosses val="autoZero"/>
        <c:auto val="1"/>
        <c:lblAlgn val="ctr"/>
        <c:lblOffset val="100"/>
        <c:noMultiLvlLbl val="0"/>
      </c:catAx>
      <c:valAx>
        <c:axId val="9778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Storage [PB]</a:t>
            </a:r>
          </a:p>
        </c:rich>
      </c:tx>
      <c:layout>
        <c:manualLayout>
          <c:xMode val="edge"/>
          <c:yMode val="edge"/>
          <c:x val="0.77460778412591624"/>
          <c:y val="5.6530974409481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569996776455009E-2"/>
          <c:y val="6.6882766277633565E-2"/>
          <c:w val="0.88834803315013711"/>
          <c:h val="0.54830021003704499"/>
        </c:manualLayout>
      </c:layout>
      <c:barChart>
        <c:barDir val="col"/>
        <c:grouping val="stacked"/>
        <c:varyColors val="0"/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'Model Summary'!$E$83:$X$83</c:f>
              <c:numCache>
                <c:formatCode>0.00</c:formatCode>
                <c:ptCount val="20"/>
                <c:pt idx="0">
                  <c:v>2024</c:v>
                </c:pt>
                <c:pt idx="1">
                  <c:v>2024.25</c:v>
                </c:pt>
                <c:pt idx="2">
                  <c:v>2024.5</c:v>
                </c:pt>
                <c:pt idx="3">
                  <c:v>2024.75</c:v>
                </c:pt>
                <c:pt idx="4">
                  <c:v>2025</c:v>
                </c:pt>
                <c:pt idx="5">
                  <c:v>2025.25</c:v>
                </c:pt>
                <c:pt idx="6">
                  <c:v>2025.5</c:v>
                </c:pt>
                <c:pt idx="7">
                  <c:v>2025.75</c:v>
                </c:pt>
                <c:pt idx="8">
                  <c:v>2026</c:v>
                </c:pt>
                <c:pt idx="9">
                  <c:v>2026.25</c:v>
                </c:pt>
                <c:pt idx="10">
                  <c:v>2026.5</c:v>
                </c:pt>
                <c:pt idx="11">
                  <c:v>2026.75</c:v>
                </c:pt>
                <c:pt idx="12">
                  <c:v>2027</c:v>
                </c:pt>
                <c:pt idx="13">
                  <c:v>2027.25</c:v>
                </c:pt>
                <c:pt idx="14">
                  <c:v>2027.5</c:v>
                </c:pt>
                <c:pt idx="15">
                  <c:v>2027.75</c:v>
                </c:pt>
                <c:pt idx="16">
                  <c:v>2028</c:v>
                </c:pt>
                <c:pt idx="17">
                  <c:v>2028.25</c:v>
                </c:pt>
                <c:pt idx="18">
                  <c:v>2028.5</c:v>
                </c:pt>
                <c:pt idx="19">
                  <c:v>2028.75</c:v>
                </c:pt>
              </c:numCache>
            </c:numRef>
          </c:cat>
          <c:val>
            <c:numRef>
              <c:f>'Model Summary'!$E$86:$X$86</c:f>
              <c:numCache>
                <c:formatCode>General</c:formatCode>
                <c:ptCount val="20"/>
                <c:pt idx="0">
                  <c:v>111.53999999999999</c:v>
                </c:pt>
                <c:pt idx="1">
                  <c:v>111.53999999999999</c:v>
                </c:pt>
                <c:pt idx="2">
                  <c:v>120.02</c:v>
                </c:pt>
                <c:pt idx="3">
                  <c:v>124.55000000000001</c:v>
                </c:pt>
                <c:pt idx="4">
                  <c:v>124.55000000000001</c:v>
                </c:pt>
                <c:pt idx="5">
                  <c:v>124.55000000000001</c:v>
                </c:pt>
                <c:pt idx="6">
                  <c:v>139.94999999999999</c:v>
                </c:pt>
                <c:pt idx="7">
                  <c:v>213.53</c:v>
                </c:pt>
                <c:pt idx="8">
                  <c:v>213.53</c:v>
                </c:pt>
                <c:pt idx="9">
                  <c:v>213.53</c:v>
                </c:pt>
                <c:pt idx="10">
                  <c:v>213.53</c:v>
                </c:pt>
                <c:pt idx="11">
                  <c:v>213.53</c:v>
                </c:pt>
                <c:pt idx="12">
                  <c:v>213.53</c:v>
                </c:pt>
                <c:pt idx="13">
                  <c:v>196.43</c:v>
                </c:pt>
                <c:pt idx="14">
                  <c:v>196.43</c:v>
                </c:pt>
                <c:pt idx="15">
                  <c:v>196.43</c:v>
                </c:pt>
                <c:pt idx="16">
                  <c:v>196.43</c:v>
                </c:pt>
                <c:pt idx="17">
                  <c:v>196.43</c:v>
                </c:pt>
                <c:pt idx="18">
                  <c:v>194.93</c:v>
                </c:pt>
                <c:pt idx="19">
                  <c:v>194.93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D-41CA-B350-A8FE19E2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7878128"/>
        <c:axId val="9778786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'Model Summary'!$E$83:$X$83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2024</c:v>
                      </c:pt>
                      <c:pt idx="1">
                        <c:v>2024.25</c:v>
                      </c:pt>
                      <c:pt idx="2">
                        <c:v>2024.5</c:v>
                      </c:pt>
                      <c:pt idx="3">
                        <c:v>2024.75</c:v>
                      </c:pt>
                      <c:pt idx="4">
                        <c:v>2025</c:v>
                      </c:pt>
                      <c:pt idx="5">
                        <c:v>2025.25</c:v>
                      </c:pt>
                      <c:pt idx="6">
                        <c:v>2025.5</c:v>
                      </c:pt>
                      <c:pt idx="7">
                        <c:v>2025.75</c:v>
                      </c:pt>
                      <c:pt idx="8">
                        <c:v>2026</c:v>
                      </c:pt>
                      <c:pt idx="9">
                        <c:v>2026.25</c:v>
                      </c:pt>
                      <c:pt idx="10">
                        <c:v>2026.5</c:v>
                      </c:pt>
                      <c:pt idx="11">
                        <c:v>2026.75</c:v>
                      </c:pt>
                      <c:pt idx="12">
                        <c:v>2027</c:v>
                      </c:pt>
                      <c:pt idx="13">
                        <c:v>2027.25</c:v>
                      </c:pt>
                      <c:pt idx="14">
                        <c:v>2027.5</c:v>
                      </c:pt>
                      <c:pt idx="15">
                        <c:v>2027.75</c:v>
                      </c:pt>
                      <c:pt idx="16">
                        <c:v>2028</c:v>
                      </c:pt>
                      <c:pt idx="17">
                        <c:v>2028.25</c:v>
                      </c:pt>
                      <c:pt idx="18">
                        <c:v>2028.5</c:v>
                      </c:pt>
                      <c:pt idx="19">
                        <c:v>2028.75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'Model Summary'!$E$84:$X$84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244</c:v>
                      </c:pt>
                      <c:pt idx="3">
                        <c:v>436</c:v>
                      </c:pt>
                      <c:pt idx="4">
                        <c:v>436</c:v>
                      </c:pt>
                      <c:pt idx="5">
                        <c:v>436</c:v>
                      </c:pt>
                      <c:pt idx="6">
                        <c:v>452</c:v>
                      </c:pt>
                      <c:pt idx="7">
                        <c:v>612</c:v>
                      </c:pt>
                      <c:pt idx="8">
                        <c:v>612</c:v>
                      </c:pt>
                      <c:pt idx="9">
                        <c:v>612</c:v>
                      </c:pt>
                      <c:pt idx="10">
                        <c:v>612</c:v>
                      </c:pt>
                      <c:pt idx="11">
                        <c:v>612</c:v>
                      </c:pt>
                      <c:pt idx="12">
                        <c:v>612</c:v>
                      </c:pt>
                      <c:pt idx="13">
                        <c:v>456</c:v>
                      </c:pt>
                      <c:pt idx="14">
                        <c:v>456</c:v>
                      </c:pt>
                      <c:pt idx="15">
                        <c:v>456</c:v>
                      </c:pt>
                      <c:pt idx="16">
                        <c:v>456</c:v>
                      </c:pt>
                      <c:pt idx="17">
                        <c:v>456</c:v>
                      </c:pt>
                      <c:pt idx="18">
                        <c:v>264</c:v>
                      </c:pt>
                      <c:pt idx="19">
                        <c:v>264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CAD-41CA-B350-A8FE19E2FE0C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Summary'!$E$83:$X$83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2024</c:v>
                      </c:pt>
                      <c:pt idx="1">
                        <c:v>2024.25</c:v>
                      </c:pt>
                      <c:pt idx="2">
                        <c:v>2024.5</c:v>
                      </c:pt>
                      <c:pt idx="3">
                        <c:v>2024.75</c:v>
                      </c:pt>
                      <c:pt idx="4">
                        <c:v>2025</c:v>
                      </c:pt>
                      <c:pt idx="5">
                        <c:v>2025.25</c:v>
                      </c:pt>
                      <c:pt idx="6">
                        <c:v>2025.5</c:v>
                      </c:pt>
                      <c:pt idx="7">
                        <c:v>2025.75</c:v>
                      </c:pt>
                      <c:pt idx="8">
                        <c:v>2026</c:v>
                      </c:pt>
                      <c:pt idx="9">
                        <c:v>2026.25</c:v>
                      </c:pt>
                      <c:pt idx="10">
                        <c:v>2026.5</c:v>
                      </c:pt>
                      <c:pt idx="11">
                        <c:v>2026.75</c:v>
                      </c:pt>
                      <c:pt idx="12">
                        <c:v>2027</c:v>
                      </c:pt>
                      <c:pt idx="13">
                        <c:v>2027.25</c:v>
                      </c:pt>
                      <c:pt idx="14">
                        <c:v>2027.5</c:v>
                      </c:pt>
                      <c:pt idx="15">
                        <c:v>2027.75</c:v>
                      </c:pt>
                      <c:pt idx="16">
                        <c:v>2028</c:v>
                      </c:pt>
                      <c:pt idx="17">
                        <c:v>2028.25</c:v>
                      </c:pt>
                      <c:pt idx="18">
                        <c:v>2028.5</c:v>
                      </c:pt>
                      <c:pt idx="19">
                        <c:v>2028.75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Summary'!$E$85:$X$85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72064</c:v>
                      </c:pt>
                      <c:pt idx="1">
                        <c:v>72064</c:v>
                      </c:pt>
                      <c:pt idx="2">
                        <c:v>77184</c:v>
                      </c:pt>
                      <c:pt idx="3">
                        <c:v>87424</c:v>
                      </c:pt>
                      <c:pt idx="4">
                        <c:v>87424</c:v>
                      </c:pt>
                      <c:pt idx="5">
                        <c:v>87424</c:v>
                      </c:pt>
                      <c:pt idx="6">
                        <c:v>89984</c:v>
                      </c:pt>
                      <c:pt idx="7">
                        <c:v>89984</c:v>
                      </c:pt>
                      <c:pt idx="8">
                        <c:v>89984</c:v>
                      </c:pt>
                      <c:pt idx="9">
                        <c:v>89984</c:v>
                      </c:pt>
                      <c:pt idx="10">
                        <c:v>89984</c:v>
                      </c:pt>
                      <c:pt idx="11">
                        <c:v>89984</c:v>
                      </c:pt>
                      <c:pt idx="12">
                        <c:v>89984</c:v>
                      </c:pt>
                      <c:pt idx="13">
                        <c:v>41984</c:v>
                      </c:pt>
                      <c:pt idx="14">
                        <c:v>41984</c:v>
                      </c:pt>
                      <c:pt idx="15">
                        <c:v>41984</c:v>
                      </c:pt>
                      <c:pt idx="16">
                        <c:v>41984</c:v>
                      </c:pt>
                      <c:pt idx="17">
                        <c:v>41984</c:v>
                      </c:pt>
                      <c:pt idx="18">
                        <c:v>31744</c:v>
                      </c:pt>
                      <c:pt idx="19">
                        <c:v>31744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CAD-41CA-B350-A8FE19E2FE0C}"/>
                  </c:ext>
                </c:extLst>
              </c15:ser>
            </c15:filteredBarSeries>
          </c:ext>
        </c:extLst>
      </c:barChart>
      <c:catAx>
        <c:axId val="9778781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78608"/>
        <c:crosses val="autoZero"/>
        <c:auto val="1"/>
        <c:lblAlgn val="ctr"/>
        <c:lblOffset val="100"/>
        <c:noMultiLvlLbl val="0"/>
      </c:catAx>
      <c:valAx>
        <c:axId val="9778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7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75322419072615909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Baseline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'Baseline Power'!$C$34:$C$81</c:f>
              <c:numCache>
                <c:formatCode>0.00</c:formatCode>
                <c:ptCount val="48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  <c:pt idx="39">
                  <c:v>2029</c:v>
                </c:pt>
                <c:pt idx="40">
                  <c:v>2029</c:v>
                </c:pt>
                <c:pt idx="41">
                  <c:v>2029.25</c:v>
                </c:pt>
                <c:pt idx="42">
                  <c:v>2029.25</c:v>
                </c:pt>
                <c:pt idx="43">
                  <c:v>2029.5</c:v>
                </c:pt>
                <c:pt idx="44">
                  <c:v>2029.5</c:v>
                </c:pt>
                <c:pt idx="45">
                  <c:v>2029.75</c:v>
                </c:pt>
                <c:pt idx="46">
                  <c:v>2029.75</c:v>
                </c:pt>
                <c:pt idx="47">
                  <c:v>2030</c:v>
                </c:pt>
              </c:numCache>
            </c:numRef>
          </c:xVal>
          <c:yVal>
            <c:numRef>
              <c:f>'Baseline Power'!$R$34:$R$81</c:f>
              <c:numCache>
                <c:formatCode>General</c:formatCode>
                <c:ptCount val="48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D-477C-A066-72233F97D0C2}"/>
            </c:ext>
          </c:extLst>
        </c:ser>
        <c:ser>
          <c:idx val="1"/>
          <c:order val="1"/>
          <c:tx>
            <c:strRef>
              <c:f>BayView!$AU$2:$AV$2</c:f>
              <c:strCache>
                <c:ptCount val="2"/>
                <c:pt idx="0">
                  <c:v>Used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BayView!$AU$4:$AU$52</c:f>
              <c:numCache>
                <c:formatCode>0.00</c:formatCode>
                <c:ptCount val="49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</c:numCache>
            </c:numRef>
          </c:xVal>
          <c:yVal>
            <c:numRef>
              <c:f>BayView!$AV$4:$AV$52</c:f>
              <c:numCache>
                <c:formatCode>0.000</c:formatCode>
                <c:ptCount val="49"/>
                <c:pt idx="0">
                  <c:v>0.91212857142857151</c:v>
                </c:pt>
                <c:pt idx="1">
                  <c:v>0.91212857142857151</c:v>
                </c:pt>
                <c:pt idx="2">
                  <c:v>0.91212857142857151</c:v>
                </c:pt>
                <c:pt idx="3">
                  <c:v>0.91212857142857151</c:v>
                </c:pt>
                <c:pt idx="4">
                  <c:v>0.91212857142857151</c:v>
                </c:pt>
                <c:pt idx="5">
                  <c:v>0.91212857142857151</c:v>
                </c:pt>
                <c:pt idx="6">
                  <c:v>1.240014285714286</c:v>
                </c:pt>
                <c:pt idx="7">
                  <c:v>1.240014285714286</c:v>
                </c:pt>
                <c:pt idx="8">
                  <c:v>1.240014285714286</c:v>
                </c:pt>
                <c:pt idx="9">
                  <c:v>1.240014285714286</c:v>
                </c:pt>
                <c:pt idx="10">
                  <c:v>1.240014285714286</c:v>
                </c:pt>
                <c:pt idx="11">
                  <c:v>1.240014285714286</c:v>
                </c:pt>
                <c:pt idx="12">
                  <c:v>1.240014285714286</c:v>
                </c:pt>
                <c:pt idx="13">
                  <c:v>1.240014285714286</c:v>
                </c:pt>
                <c:pt idx="14">
                  <c:v>1.3754428571428574</c:v>
                </c:pt>
                <c:pt idx="15">
                  <c:v>1.3754428571428574</c:v>
                </c:pt>
                <c:pt idx="16">
                  <c:v>1.3754428571428574</c:v>
                </c:pt>
                <c:pt idx="17">
                  <c:v>1.3754428571428574</c:v>
                </c:pt>
                <c:pt idx="18">
                  <c:v>1.3754428571428574</c:v>
                </c:pt>
                <c:pt idx="19">
                  <c:v>1.3754428571428574</c:v>
                </c:pt>
                <c:pt idx="20">
                  <c:v>1.3754428571428574</c:v>
                </c:pt>
                <c:pt idx="21">
                  <c:v>1.3754428571428574</c:v>
                </c:pt>
                <c:pt idx="22">
                  <c:v>1.3754428571428574</c:v>
                </c:pt>
                <c:pt idx="23">
                  <c:v>1.3754428571428574</c:v>
                </c:pt>
                <c:pt idx="24">
                  <c:v>1.3754428571428574</c:v>
                </c:pt>
                <c:pt idx="25">
                  <c:v>1.3754428571428574</c:v>
                </c:pt>
                <c:pt idx="26">
                  <c:v>0.61331428571428581</c:v>
                </c:pt>
                <c:pt idx="27">
                  <c:v>0.61331428571428581</c:v>
                </c:pt>
                <c:pt idx="28">
                  <c:v>0.61331428571428581</c:v>
                </c:pt>
                <c:pt idx="29">
                  <c:v>0.61331428571428581</c:v>
                </c:pt>
                <c:pt idx="30">
                  <c:v>0.61331428571428581</c:v>
                </c:pt>
                <c:pt idx="31">
                  <c:v>0.61331428571428581</c:v>
                </c:pt>
                <c:pt idx="32">
                  <c:v>0.61331428571428581</c:v>
                </c:pt>
                <c:pt idx="33">
                  <c:v>0.61331428571428581</c:v>
                </c:pt>
                <c:pt idx="34">
                  <c:v>0.61331428571428581</c:v>
                </c:pt>
                <c:pt idx="35">
                  <c:v>0.61331428571428581</c:v>
                </c:pt>
                <c:pt idx="36">
                  <c:v>0.28931428571428575</c:v>
                </c:pt>
                <c:pt idx="37">
                  <c:v>0.28931428571428575</c:v>
                </c:pt>
                <c:pt idx="38">
                  <c:v>0.28931428571428575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A-47B3-82A0-0A034D428F77}"/>
            </c:ext>
          </c:extLst>
        </c:ser>
        <c:ser>
          <c:idx val="2"/>
          <c:order val="2"/>
          <c:tx>
            <c:v>Adjusted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BayView!$AU$4:$AU$42</c:f>
              <c:numCache>
                <c:formatCode>0.00</c:formatCode>
                <c:ptCount val="39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</c:numCache>
            </c:numRef>
          </c:xVal>
          <c:yVal>
            <c:numRef>
              <c:f>BayView!$AW$4:$AW$42</c:f>
              <c:numCache>
                <c:formatCode>0.000</c:formatCode>
                <c:ptCount val="39"/>
                <c:pt idx="0">
                  <c:v>0.91212857142857151</c:v>
                </c:pt>
                <c:pt idx="1">
                  <c:v>0.91212857142857151</c:v>
                </c:pt>
                <c:pt idx="2">
                  <c:v>0.91212857142857151</c:v>
                </c:pt>
                <c:pt idx="3">
                  <c:v>0.91212857142857151</c:v>
                </c:pt>
                <c:pt idx="4">
                  <c:v>0.91212857142857151</c:v>
                </c:pt>
                <c:pt idx="5">
                  <c:v>0.91212857142857151</c:v>
                </c:pt>
                <c:pt idx="6">
                  <c:v>1.240014285714286</c:v>
                </c:pt>
                <c:pt idx="7">
                  <c:v>1.240014285714286</c:v>
                </c:pt>
                <c:pt idx="8">
                  <c:v>1.240014285714286</c:v>
                </c:pt>
                <c:pt idx="9">
                  <c:v>1.240014285714286</c:v>
                </c:pt>
                <c:pt idx="10">
                  <c:v>1.240014285714286</c:v>
                </c:pt>
                <c:pt idx="11">
                  <c:v>1.240014285714286</c:v>
                </c:pt>
                <c:pt idx="12">
                  <c:v>1.240014285714286</c:v>
                </c:pt>
                <c:pt idx="13">
                  <c:v>1.240014285714286</c:v>
                </c:pt>
                <c:pt idx="14">
                  <c:v>1.3754428571428574</c:v>
                </c:pt>
                <c:pt idx="15">
                  <c:v>1.3754428571428574</c:v>
                </c:pt>
                <c:pt idx="16">
                  <c:v>1.3754428571428574</c:v>
                </c:pt>
                <c:pt idx="17">
                  <c:v>1.3754428571428574</c:v>
                </c:pt>
                <c:pt idx="18">
                  <c:v>1.3754428571428574</c:v>
                </c:pt>
                <c:pt idx="19">
                  <c:v>1.3754428571428574</c:v>
                </c:pt>
                <c:pt idx="20">
                  <c:v>1.3754428571428574</c:v>
                </c:pt>
                <c:pt idx="21">
                  <c:v>1.3754428571428574</c:v>
                </c:pt>
                <c:pt idx="22">
                  <c:v>1.3754428571428574</c:v>
                </c:pt>
                <c:pt idx="23">
                  <c:v>1.3754428571428574</c:v>
                </c:pt>
                <c:pt idx="24">
                  <c:v>1.3754428571428574</c:v>
                </c:pt>
                <c:pt idx="25">
                  <c:v>1.3754428571428574</c:v>
                </c:pt>
                <c:pt idx="26">
                  <c:v>0.61331428571428581</c:v>
                </c:pt>
                <c:pt idx="27">
                  <c:v>0.61331428571428581</c:v>
                </c:pt>
                <c:pt idx="28">
                  <c:v>0.61331428571428581</c:v>
                </c:pt>
                <c:pt idx="29">
                  <c:v>0.61331428571428581</c:v>
                </c:pt>
                <c:pt idx="30">
                  <c:v>0.61331428571428581</c:v>
                </c:pt>
                <c:pt idx="31">
                  <c:v>0.61331428571428581</c:v>
                </c:pt>
                <c:pt idx="32">
                  <c:v>0.61331428571428581</c:v>
                </c:pt>
                <c:pt idx="33">
                  <c:v>0.61331428571428581</c:v>
                </c:pt>
                <c:pt idx="34">
                  <c:v>0.61331428571428581</c:v>
                </c:pt>
                <c:pt idx="35">
                  <c:v>0.61331428571428581</c:v>
                </c:pt>
                <c:pt idx="36">
                  <c:v>0.28931428571428575</c:v>
                </c:pt>
                <c:pt idx="37">
                  <c:v>0.28931428571428575</c:v>
                </c:pt>
                <c:pt idx="38">
                  <c:v>0.28931428571428575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2-4E3F-91DF-C3DC03735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230624"/>
        <c:axId val="1716103792"/>
      </c:scatterChart>
      <c:valAx>
        <c:axId val="1898230624"/>
        <c:scaling>
          <c:orientation val="minMax"/>
          <c:max val="20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03792"/>
        <c:crosses val="autoZero"/>
        <c:crossBetween val="midCat"/>
      </c:valAx>
      <c:valAx>
        <c:axId val="17161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3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329746344049173"/>
          <c:y val="0.12985008157820452"/>
          <c:w val="0.14068549498691557"/>
          <c:h val="0.19047773474417656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37655008842103"/>
          <c:y val="4.8066968565770654E-2"/>
          <c:w val="0.75322419072615909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Max Capacity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'Baseline Power'!$C$34:$C$81</c:f>
              <c:numCache>
                <c:formatCode>0.00</c:formatCode>
                <c:ptCount val="48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  <c:pt idx="39">
                  <c:v>2029</c:v>
                </c:pt>
                <c:pt idx="40">
                  <c:v>2029</c:v>
                </c:pt>
                <c:pt idx="41">
                  <c:v>2029.25</c:v>
                </c:pt>
                <c:pt idx="42">
                  <c:v>2029.25</c:v>
                </c:pt>
                <c:pt idx="43">
                  <c:v>2029.5</c:v>
                </c:pt>
                <c:pt idx="44">
                  <c:v>2029.5</c:v>
                </c:pt>
                <c:pt idx="45">
                  <c:v>2029.75</c:v>
                </c:pt>
                <c:pt idx="46">
                  <c:v>2029.75</c:v>
                </c:pt>
                <c:pt idx="47">
                  <c:v>2030</c:v>
                </c:pt>
              </c:numCache>
            </c:numRef>
          </c:xVal>
          <c:yVal>
            <c:numRef>
              <c:f>'Baseline Power'!$P$34:$P$81</c:f>
              <c:numCache>
                <c:formatCode>General</c:formatCode>
                <c:ptCount val="48"/>
                <c:pt idx="0">
                  <c:v>1.05</c:v>
                </c:pt>
                <c:pt idx="1">
                  <c:v>1.05</c:v>
                </c:pt>
                <c:pt idx="2">
                  <c:v>1.05</c:v>
                </c:pt>
                <c:pt idx="3">
                  <c:v>1.05</c:v>
                </c:pt>
                <c:pt idx="4">
                  <c:v>1.05</c:v>
                </c:pt>
                <c:pt idx="5">
                  <c:v>1.05</c:v>
                </c:pt>
                <c:pt idx="6">
                  <c:v>1.05</c:v>
                </c:pt>
                <c:pt idx="7">
                  <c:v>1.05</c:v>
                </c:pt>
                <c:pt idx="8">
                  <c:v>1.05</c:v>
                </c:pt>
                <c:pt idx="9">
                  <c:v>1.05</c:v>
                </c:pt>
                <c:pt idx="10">
                  <c:v>1.05</c:v>
                </c:pt>
                <c:pt idx="11">
                  <c:v>1.05</c:v>
                </c:pt>
                <c:pt idx="12">
                  <c:v>1.05</c:v>
                </c:pt>
                <c:pt idx="13">
                  <c:v>1.05</c:v>
                </c:pt>
                <c:pt idx="14">
                  <c:v>1.05</c:v>
                </c:pt>
                <c:pt idx="15">
                  <c:v>1.05</c:v>
                </c:pt>
                <c:pt idx="16">
                  <c:v>1.05</c:v>
                </c:pt>
                <c:pt idx="17">
                  <c:v>1.05</c:v>
                </c:pt>
                <c:pt idx="18">
                  <c:v>1.05</c:v>
                </c:pt>
                <c:pt idx="19">
                  <c:v>1.05</c:v>
                </c:pt>
                <c:pt idx="20">
                  <c:v>1.05</c:v>
                </c:pt>
                <c:pt idx="21">
                  <c:v>1.05</c:v>
                </c:pt>
                <c:pt idx="22">
                  <c:v>1.05</c:v>
                </c:pt>
                <c:pt idx="23">
                  <c:v>1.05</c:v>
                </c:pt>
                <c:pt idx="24">
                  <c:v>1.05</c:v>
                </c:pt>
                <c:pt idx="25">
                  <c:v>1.05</c:v>
                </c:pt>
                <c:pt idx="26">
                  <c:v>1.05</c:v>
                </c:pt>
                <c:pt idx="27">
                  <c:v>1.05</c:v>
                </c:pt>
                <c:pt idx="28">
                  <c:v>1.05</c:v>
                </c:pt>
                <c:pt idx="29">
                  <c:v>1.05</c:v>
                </c:pt>
                <c:pt idx="30">
                  <c:v>1.05</c:v>
                </c:pt>
                <c:pt idx="31">
                  <c:v>1.05</c:v>
                </c:pt>
                <c:pt idx="32">
                  <c:v>2.85</c:v>
                </c:pt>
                <c:pt idx="33">
                  <c:v>2.85</c:v>
                </c:pt>
                <c:pt idx="34">
                  <c:v>2.85</c:v>
                </c:pt>
                <c:pt idx="35">
                  <c:v>2.85</c:v>
                </c:pt>
                <c:pt idx="36">
                  <c:v>2.85</c:v>
                </c:pt>
                <c:pt idx="37">
                  <c:v>2.85</c:v>
                </c:pt>
                <c:pt idx="38">
                  <c:v>2.85</c:v>
                </c:pt>
                <c:pt idx="39">
                  <c:v>2.85</c:v>
                </c:pt>
                <c:pt idx="40">
                  <c:v>2.85</c:v>
                </c:pt>
                <c:pt idx="41">
                  <c:v>2.85</c:v>
                </c:pt>
                <c:pt idx="42">
                  <c:v>2.85</c:v>
                </c:pt>
                <c:pt idx="43">
                  <c:v>2.85</c:v>
                </c:pt>
                <c:pt idx="44">
                  <c:v>2.85</c:v>
                </c:pt>
                <c:pt idx="45">
                  <c:v>2.85</c:v>
                </c:pt>
                <c:pt idx="46">
                  <c:v>2.85</c:v>
                </c:pt>
                <c:pt idx="47">
                  <c:v>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D-4CEA-A731-0191518B7697}"/>
            </c:ext>
          </c:extLst>
        </c:ser>
        <c:ser>
          <c:idx val="1"/>
          <c:order val="1"/>
          <c:tx>
            <c:strRef>
              <c:f>Mt.Wash!$AU$2:$AV$2</c:f>
              <c:strCache>
                <c:ptCount val="2"/>
                <c:pt idx="0">
                  <c:v>Used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Mt.Wash!$AU$4:$AU$51</c:f>
              <c:numCache>
                <c:formatCode>0.00</c:formatCode>
                <c:ptCount val="48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</c:numCache>
            </c:numRef>
          </c:xVal>
          <c:yVal>
            <c:numRef>
              <c:f>Mt.Wash!$AV$4:$AV$51</c:f>
              <c:numCache>
                <c:formatCode>0.000</c:formatCode>
                <c:ptCount val="48"/>
                <c:pt idx="0">
                  <c:v>0.59800000000000009</c:v>
                </c:pt>
                <c:pt idx="1">
                  <c:v>0.59800000000000009</c:v>
                </c:pt>
                <c:pt idx="2">
                  <c:v>0.59800000000000009</c:v>
                </c:pt>
                <c:pt idx="3">
                  <c:v>0.59800000000000009</c:v>
                </c:pt>
                <c:pt idx="4">
                  <c:v>0.74942857142857155</c:v>
                </c:pt>
                <c:pt idx="5">
                  <c:v>0.74942857142857155</c:v>
                </c:pt>
                <c:pt idx="6">
                  <c:v>0.74942857142857155</c:v>
                </c:pt>
                <c:pt idx="7">
                  <c:v>0.74942857142857155</c:v>
                </c:pt>
                <c:pt idx="8">
                  <c:v>0.74942857142857155</c:v>
                </c:pt>
                <c:pt idx="9">
                  <c:v>0.74942857142857155</c:v>
                </c:pt>
                <c:pt idx="10">
                  <c:v>0.74942857142857155</c:v>
                </c:pt>
                <c:pt idx="11">
                  <c:v>0.74942857142857155</c:v>
                </c:pt>
                <c:pt idx="12">
                  <c:v>0.74942857142857155</c:v>
                </c:pt>
                <c:pt idx="13">
                  <c:v>0.74942857142857155</c:v>
                </c:pt>
                <c:pt idx="14">
                  <c:v>0.8351428571428573</c:v>
                </c:pt>
                <c:pt idx="15">
                  <c:v>0.8351428571428573</c:v>
                </c:pt>
                <c:pt idx="16">
                  <c:v>0.8351428571428573</c:v>
                </c:pt>
                <c:pt idx="17">
                  <c:v>0.8351428571428573</c:v>
                </c:pt>
                <c:pt idx="18">
                  <c:v>0.8351428571428573</c:v>
                </c:pt>
                <c:pt idx="19">
                  <c:v>0.8351428571428573</c:v>
                </c:pt>
                <c:pt idx="20">
                  <c:v>0.8351428571428573</c:v>
                </c:pt>
                <c:pt idx="21">
                  <c:v>0.8351428571428573</c:v>
                </c:pt>
                <c:pt idx="22">
                  <c:v>0.8351428571428573</c:v>
                </c:pt>
                <c:pt idx="23">
                  <c:v>0.8351428571428573</c:v>
                </c:pt>
                <c:pt idx="24">
                  <c:v>0.8351428571428573</c:v>
                </c:pt>
                <c:pt idx="25">
                  <c:v>0.8351428571428573</c:v>
                </c:pt>
                <c:pt idx="26">
                  <c:v>0.33514285714285719</c:v>
                </c:pt>
                <c:pt idx="27">
                  <c:v>0.33514285714285719</c:v>
                </c:pt>
                <c:pt idx="28">
                  <c:v>0.33514285714285719</c:v>
                </c:pt>
                <c:pt idx="29">
                  <c:v>0.33514285714285719</c:v>
                </c:pt>
                <c:pt idx="30">
                  <c:v>0.33514285714285719</c:v>
                </c:pt>
                <c:pt idx="31">
                  <c:v>0.33514285714285719</c:v>
                </c:pt>
                <c:pt idx="32">
                  <c:v>0.33514285714285719</c:v>
                </c:pt>
                <c:pt idx="33">
                  <c:v>0.33514285714285719</c:v>
                </c:pt>
                <c:pt idx="34">
                  <c:v>0.33514285714285719</c:v>
                </c:pt>
                <c:pt idx="35">
                  <c:v>0.33514285714285719</c:v>
                </c:pt>
                <c:pt idx="36">
                  <c:v>0.33514285714285719</c:v>
                </c:pt>
                <c:pt idx="37">
                  <c:v>0.33514285714285719</c:v>
                </c:pt>
                <c:pt idx="38">
                  <c:v>0.33514285714285719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6D-4CEA-A731-0191518B7697}"/>
            </c:ext>
          </c:extLst>
        </c:ser>
        <c:ser>
          <c:idx val="2"/>
          <c:order val="2"/>
          <c:tx>
            <c:v>Adjusted</c:v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Mt.Wash!$AU$4:$AU$42</c:f>
              <c:numCache>
                <c:formatCode>0.00</c:formatCode>
                <c:ptCount val="39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</c:numCache>
            </c:numRef>
          </c:xVal>
          <c:yVal>
            <c:numRef>
              <c:f>Mt.Wash!$AW$4:$AW$42</c:f>
              <c:numCache>
                <c:formatCode>0.000</c:formatCode>
                <c:ptCount val="39"/>
                <c:pt idx="0">
                  <c:v>9.8000000000000087E-2</c:v>
                </c:pt>
                <c:pt idx="1">
                  <c:v>9.8000000000000087E-2</c:v>
                </c:pt>
                <c:pt idx="2">
                  <c:v>9.8000000000000087E-2</c:v>
                </c:pt>
                <c:pt idx="3">
                  <c:v>9.8000000000000087E-2</c:v>
                </c:pt>
                <c:pt idx="4">
                  <c:v>0.24942857142857155</c:v>
                </c:pt>
                <c:pt idx="5">
                  <c:v>0.24942857142857155</c:v>
                </c:pt>
                <c:pt idx="6">
                  <c:v>0.24942857142857155</c:v>
                </c:pt>
                <c:pt idx="7">
                  <c:v>0.24942857142857155</c:v>
                </c:pt>
                <c:pt idx="8">
                  <c:v>0.24942857142857155</c:v>
                </c:pt>
                <c:pt idx="9">
                  <c:v>0.24942857142857155</c:v>
                </c:pt>
                <c:pt idx="10">
                  <c:v>0.24942857142857155</c:v>
                </c:pt>
                <c:pt idx="11">
                  <c:v>0.24942857142857155</c:v>
                </c:pt>
                <c:pt idx="12">
                  <c:v>0.24942857142857155</c:v>
                </c:pt>
                <c:pt idx="13">
                  <c:v>0.24942857142857155</c:v>
                </c:pt>
                <c:pt idx="14">
                  <c:v>0.3351428571428573</c:v>
                </c:pt>
                <c:pt idx="15">
                  <c:v>0.3351428571428573</c:v>
                </c:pt>
                <c:pt idx="16">
                  <c:v>0.3351428571428573</c:v>
                </c:pt>
                <c:pt idx="17">
                  <c:v>0.3351428571428573</c:v>
                </c:pt>
                <c:pt idx="18">
                  <c:v>0.3351428571428573</c:v>
                </c:pt>
                <c:pt idx="19">
                  <c:v>0.3351428571428573</c:v>
                </c:pt>
                <c:pt idx="20">
                  <c:v>0.3351428571428573</c:v>
                </c:pt>
                <c:pt idx="21">
                  <c:v>0.3351428571428573</c:v>
                </c:pt>
                <c:pt idx="22">
                  <c:v>0.3351428571428573</c:v>
                </c:pt>
                <c:pt idx="23">
                  <c:v>0.3351428571428573</c:v>
                </c:pt>
                <c:pt idx="24">
                  <c:v>0.3351428571428573</c:v>
                </c:pt>
                <c:pt idx="25">
                  <c:v>0.3351428571428573</c:v>
                </c:pt>
                <c:pt idx="26">
                  <c:v>0.33514285714285719</c:v>
                </c:pt>
                <c:pt idx="27">
                  <c:v>0.33514285714285719</c:v>
                </c:pt>
                <c:pt idx="28">
                  <c:v>0.33514285714285719</c:v>
                </c:pt>
                <c:pt idx="29">
                  <c:v>0.33514285714285719</c:v>
                </c:pt>
                <c:pt idx="30">
                  <c:v>0.33514285714285719</c:v>
                </c:pt>
                <c:pt idx="31">
                  <c:v>0.33514285714285719</c:v>
                </c:pt>
                <c:pt idx="32">
                  <c:v>0.33514285714285719</c:v>
                </c:pt>
                <c:pt idx="33">
                  <c:v>0.33514285714285719</c:v>
                </c:pt>
                <c:pt idx="34">
                  <c:v>0.33514285714285719</c:v>
                </c:pt>
                <c:pt idx="35">
                  <c:v>0.33514285714285719</c:v>
                </c:pt>
                <c:pt idx="36">
                  <c:v>0.33514285714285719</c:v>
                </c:pt>
                <c:pt idx="37">
                  <c:v>0.33514285714285719</c:v>
                </c:pt>
                <c:pt idx="38">
                  <c:v>0.33514285714285719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81-48DC-B425-AFFEE14F5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230624"/>
        <c:axId val="1716103792"/>
      </c:scatterChart>
      <c:valAx>
        <c:axId val="1898230624"/>
        <c:scaling>
          <c:orientation val="minMax"/>
          <c:max val="20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03792"/>
        <c:crosses val="autoZero"/>
        <c:crossBetween val="midCat"/>
      </c:valAx>
      <c:valAx>
        <c:axId val="17161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3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329746344049173"/>
          <c:y val="0.12985008157820452"/>
          <c:w val="0.22089171818045025"/>
          <c:h val="0.17585056286992187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75322419072615909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Baseline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'Baseline Power'!$C$34:$C$81</c:f>
              <c:numCache>
                <c:formatCode>0.00</c:formatCode>
                <c:ptCount val="48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  <c:pt idx="39">
                  <c:v>2029</c:v>
                </c:pt>
                <c:pt idx="40">
                  <c:v>2029</c:v>
                </c:pt>
                <c:pt idx="41">
                  <c:v>2029.25</c:v>
                </c:pt>
                <c:pt idx="42">
                  <c:v>2029.25</c:v>
                </c:pt>
                <c:pt idx="43">
                  <c:v>2029.5</c:v>
                </c:pt>
                <c:pt idx="44">
                  <c:v>2029.5</c:v>
                </c:pt>
                <c:pt idx="45">
                  <c:v>2029.75</c:v>
                </c:pt>
                <c:pt idx="46">
                  <c:v>2029.75</c:v>
                </c:pt>
                <c:pt idx="47">
                  <c:v>2030</c:v>
                </c:pt>
              </c:numCache>
            </c:numRef>
          </c:xVal>
          <c:yVal>
            <c:numRef>
              <c:f>'Baseline Power'!$O$34:$O$81</c:f>
              <c:numCache>
                <c:formatCode>General</c:formatCode>
                <c:ptCount val="48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  <c:pt idx="24">
                  <c:v>0.45</c:v>
                </c:pt>
                <c:pt idx="25">
                  <c:v>0.45</c:v>
                </c:pt>
                <c:pt idx="26">
                  <c:v>0.45</c:v>
                </c:pt>
                <c:pt idx="27">
                  <c:v>0.45</c:v>
                </c:pt>
                <c:pt idx="28">
                  <c:v>0.45</c:v>
                </c:pt>
                <c:pt idx="29">
                  <c:v>0.45</c:v>
                </c:pt>
                <c:pt idx="30">
                  <c:v>0.45</c:v>
                </c:pt>
                <c:pt idx="31">
                  <c:v>0.45</c:v>
                </c:pt>
                <c:pt idx="32">
                  <c:v>0.45</c:v>
                </c:pt>
                <c:pt idx="33">
                  <c:v>0.45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4-44A1-9418-41BE265FD3A8}"/>
            </c:ext>
          </c:extLst>
        </c:ser>
        <c:ser>
          <c:idx val="1"/>
          <c:order val="1"/>
          <c:tx>
            <c:strRef>
              <c:f>Bloomberg!$AU$2:$AV$2</c:f>
              <c:strCache>
                <c:ptCount val="2"/>
                <c:pt idx="0">
                  <c:v>Used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Bloomberg!$AU$4:$AU$51</c:f>
              <c:numCache>
                <c:formatCode>0.00</c:formatCode>
                <c:ptCount val="48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</c:numCache>
            </c:numRef>
          </c:xVal>
          <c:yVal>
            <c:numRef>
              <c:f>Bloomberg!$AV$4:$AV$51</c:f>
              <c:numCache>
                <c:formatCode>0.000</c:formatCode>
                <c:ptCount val="48"/>
                <c:pt idx="0">
                  <c:v>0.29440000000000005</c:v>
                </c:pt>
                <c:pt idx="1">
                  <c:v>0.29440000000000005</c:v>
                </c:pt>
                <c:pt idx="2">
                  <c:v>0.29440000000000005</c:v>
                </c:pt>
                <c:pt idx="3">
                  <c:v>0.29440000000000005</c:v>
                </c:pt>
                <c:pt idx="4">
                  <c:v>0.29440000000000005</c:v>
                </c:pt>
                <c:pt idx="5">
                  <c:v>0.29440000000000005</c:v>
                </c:pt>
                <c:pt idx="6">
                  <c:v>0.29440000000000005</c:v>
                </c:pt>
                <c:pt idx="7">
                  <c:v>0.29440000000000005</c:v>
                </c:pt>
                <c:pt idx="8">
                  <c:v>0.29440000000000005</c:v>
                </c:pt>
                <c:pt idx="9">
                  <c:v>0.29440000000000005</c:v>
                </c:pt>
                <c:pt idx="10">
                  <c:v>0.29440000000000005</c:v>
                </c:pt>
                <c:pt idx="11">
                  <c:v>0.29440000000000005</c:v>
                </c:pt>
                <c:pt idx="12">
                  <c:v>0.35898571428571435</c:v>
                </c:pt>
                <c:pt idx="13">
                  <c:v>0.35898571428571435</c:v>
                </c:pt>
                <c:pt idx="14">
                  <c:v>0.35898571428571435</c:v>
                </c:pt>
                <c:pt idx="15">
                  <c:v>0.35898571428571435</c:v>
                </c:pt>
                <c:pt idx="16">
                  <c:v>0.35898571428571435</c:v>
                </c:pt>
                <c:pt idx="17">
                  <c:v>0.35898571428571435</c:v>
                </c:pt>
                <c:pt idx="18">
                  <c:v>0.35898571428571435</c:v>
                </c:pt>
                <c:pt idx="19">
                  <c:v>0.35898571428571435</c:v>
                </c:pt>
                <c:pt idx="20">
                  <c:v>0.35898571428571435</c:v>
                </c:pt>
                <c:pt idx="21">
                  <c:v>0.35898571428571435</c:v>
                </c:pt>
                <c:pt idx="22">
                  <c:v>0.35898571428571435</c:v>
                </c:pt>
                <c:pt idx="23">
                  <c:v>0.35898571428571435</c:v>
                </c:pt>
                <c:pt idx="24">
                  <c:v>0.35898571428571435</c:v>
                </c:pt>
                <c:pt idx="25">
                  <c:v>0.35898571428571435</c:v>
                </c:pt>
                <c:pt idx="26">
                  <c:v>0.35898571428571435</c:v>
                </c:pt>
                <c:pt idx="27">
                  <c:v>0.35898571428571435</c:v>
                </c:pt>
                <c:pt idx="28">
                  <c:v>0.35898571428571435</c:v>
                </c:pt>
                <c:pt idx="29">
                  <c:v>0.35898571428571435</c:v>
                </c:pt>
                <c:pt idx="30">
                  <c:v>0.35898571428571435</c:v>
                </c:pt>
                <c:pt idx="31">
                  <c:v>0.35898571428571435</c:v>
                </c:pt>
                <c:pt idx="32">
                  <c:v>0.35898571428571435</c:v>
                </c:pt>
                <c:pt idx="33">
                  <c:v>0.35898571428571435</c:v>
                </c:pt>
                <c:pt idx="34">
                  <c:v>0.35898571428571435</c:v>
                </c:pt>
                <c:pt idx="35">
                  <c:v>0.35898571428571435</c:v>
                </c:pt>
                <c:pt idx="36">
                  <c:v>0.35898571428571435</c:v>
                </c:pt>
                <c:pt idx="37">
                  <c:v>0.35898571428571435</c:v>
                </c:pt>
                <c:pt idx="38">
                  <c:v>0.35898571428571435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4-44A1-9418-41BE265FD3A8}"/>
            </c:ext>
          </c:extLst>
        </c:ser>
        <c:ser>
          <c:idx val="2"/>
          <c:order val="2"/>
          <c:tx>
            <c:v>Adjusted</c:v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Bloomberg!$AU$4:$AU$42</c:f>
              <c:numCache>
                <c:formatCode>0.00</c:formatCode>
                <c:ptCount val="39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</c:numCache>
            </c:numRef>
          </c:xVal>
          <c:yVal>
            <c:numRef>
              <c:f>Bloomberg!$AW$4:$AW$42</c:f>
              <c:numCache>
                <c:formatCode>0.000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B-4B1D-AEB9-3E0B36127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230624"/>
        <c:axId val="1716103792"/>
      </c:scatterChart>
      <c:valAx>
        <c:axId val="1898230624"/>
        <c:scaling>
          <c:orientation val="minMax"/>
          <c:max val="20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103792"/>
        <c:crosses val="autoZero"/>
        <c:crossBetween val="midCat"/>
      </c:valAx>
      <c:valAx>
        <c:axId val="17161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3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020950705061784"/>
          <c:y val="7.6557200797561023E-2"/>
          <c:w val="0.14289173492049309"/>
          <c:h val="0.17253065724576416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40463450782591E-2"/>
          <c:y val="3.5187463288670194E-2"/>
          <c:w val="0.83979212973293671"/>
          <c:h val="0.80495969436023296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'Baseline Power'!$C$34:$C$81</c:f>
              <c:numCache>
                <c:formatCode>0.00</c:formatCode>
                <c:ptCount val="48"/>
                <c:pt idx="0">
                  <c:v>2024</c:v>
                </c:pt>
                <c:pt idx="1">
                  <c:v>2024.25</c:v>
                </c:pt>
                <c:pt idx="2">
                  <c:v>2024.25</c:v>
                </c:pt>
                <c:pt idx="3">
                  <c:v>2024.5</c:v>
                </c:pt>
                <c:pt idx="4">
                  <c:v>2024.5</c:v>
                </c:pt>
                <c:pt idx="5">
                  <c:v>2024.75</c:v>
                </c:pt>
                <c:pt idx="6">
                  <c:v>2024.75</c:v>
                </c:pt>
                <c:pt idx="7">
                  <c:v>2025</c:v>
                </c:pt>
                <c:pt idx="8">
                  <c:v>2025</c:v>
                </c:pt>
                <c:pt idx="9">
                  <c:v>2025.25</c:v>
                </c:pt>
                <c:pt idx="10">
                  <c:v>2025.25</c:v>
                </c:pt>
                <c:pt idx="11">
                  <c:v>2025.5</c:v>
                </c:pt>
                <c:pt idx="12">
                  <c:v>2025.5</c:v>
                </c:pt>
                <c:pt idx="13">
                  <c:v>2025.75</c:v>
                </c:pt>
                <c:pt idx="14">
                  <c:v>2025.75</c:v>
                </c:pt>
                <c:pt idx="15">
                  <c:v>2026</c:v>
                </c:pt>
                <c:pt idx="16">
                  <c:v>2026</c:v>
                </c:pt>
                <c:pt idx="17">
                  <c:v>2026.25</c:v>
                </c:pt>
                <c:pt idx="18">
                  <c:v>2026.25</c:v>
                </c:pt>
                <c:pt idx="19">
                  <c:v>2026.5</c:v>
                </c:pt>
                <c:pt idx="20">
                  <c:v>2026.5</c:v>
                </c:pt>
                <c:pt idx="21">
                  <c:v>2026.75</c:v>
                </c:pt>
                <c:pt idx="22">
                  <c:v>2026.75</c:v>
                </c:pt>
                <c:pt idx="23">
                  <c:v>2027</c:v>
                </c:pt>
                <c:pt idx="24">
                  <c:v>2027</c:v>
                </c:pt>
                <c:pt idx="25">
                  <c:v>2027.25</c:v>
                </c:pt>
                <c:pt idx="26">
                  <c:v>2027.25</c:v>
                </c:pt>
                <c:pt idx="27">
                  <c:v>2027.5</c:v>
                </c:pt>
                <c:pt idx="28">
                  <c:v>2027.5</c:v>
                </c:pt>
                <c:pt idx="29">
                  <c:v>2027.75</c:v>
                </c:pt>
                <c:pt idx="30">
                  <c:v>2027.75</c:v>
                </c:pt>
                <c:pt idx="31">
                  <c:v>2028</c:v>
                </c:pt>
                <c:pt idx="32">
                  <c:v>2028</c:v>
                </c:pt>
                <c:pt idx="33">
                  <c:v>2028.25</c:v>
                </c:pt>
                <c:pt idx="34">
                  <c:v>2028.25</c:v>
                </c:pt>
                <c:pt idx="35">
                  <c:v>2028.5</c:v>
                </c:pt>
                <c:pt idx="36">
                  <c:v>2028.5</c:v>
                </c:pt>
                <c:pt idx="37">
                  <c:v>2028.75</c:v>
                </c:pt>
                <c:pt idx="38">
                  <c:v>2028.75</c:v>
                </c:pt>
                <c:pt idx="39">
                  <c:v>2029</c:v>
                </c:pt>
                <c:pt idx="40">
                  <c:v>2029</c:v>
                </c:pt>
                <c:pt idx="41">
                  <c:v>2029.25</c:v>
                </c:pt>
                <c:pt idx="42">
                  <c:v>2029.25</c:v>
                </c:pt>
                <c:pt idx="43">
                  <c:v>2029.5</c:v>
                </c:pt>
                <c:pt idx="44">
                  <c:v>2029.5</c:v>
                </c:pt>
                <c:pt idx="45">
                  <c:v>2029.75</c:v>
                </c:pt>
                <c:pt idx="46">
                  <c:v>2029.75</c:v>
                </c:pt>
                <c:pt idx="47">
                  <c:v>2030</c:v>
                </c:pt>
              </c:numCache>
            </c:numRef>
          </c:xVal>
          <c:yVal>
            <c:numRef>
              <c:f>'Baseline Power'!$H$34:$H$81</c:f>
              <c:numCache>
                <c:formatCode>General</c:formatCode>
                <c:ptCount val="48"/>
                <c:pt idx="0">
                  <c:v>0.94499999999999995</c:v>
                </c:pt>
                <c:pt idx="1">
                  <c:v>0.94499999999999995</c:v>
                </c:pt>
                <c:pt idx="2">
                  <c:v>0.94499999999999995</c:v>
                </c:pt>
                <c:pt idx="3">
                  <c:v>0.94499999999999995</c:v>
                </c:pt>
                <c:pt idx="4">
                  <c:v>0.59499999999999986</c:v>
                </c:pt>
                <c:pt idx="5">
                  <c:v>0.59499999999999986</c:v>
                </c:pt>
                <c:pt idx="6">
                  <c:v>0.69499999999999995</c:v>
                </c:pt>
                <c:pt idx="7">
                  <c:v>0.69499999999999995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1.3000000000000003</c:v>
                </c:pt>
                <c:pt idx="15">
                  <c:v>1.3000000000000003</c:v>
                </c:pt>
                <c:pt idx="16">
                  <c:v>1.3000000000000003</c:v>
                </c:pt>
                <c:pt idx="17">
                  <c:v>1.3000000000000003</c:v>
                </c:pt>
                <c:pt idx="18">
                  <c:v>1.3000000000000003</c:v>
                </c:pt>
                <c:pt idx="19">
                  <c:v>1.3000000000000003</c:v>
                </c:pt>
                <c:pt idx="20">
                  <c:v>1.3000000000000003</c:v>
                </c:pt>
                <c:pt idx="21">
                  <c:v>1.3000000000000003</c:v>
                </c:pt>
                <c:pt idx="22">
                  <c:v>1.3000000000000003</c:v>
                </c:pt>
                <c:pt idx="23">
                  <c:v>1.3000000000000003</c:v>
                </c:pt>
                <c:pt idx="24">
                  <c:v>1.85</c:v>
                </c:pt>
                <c:pt idx="25">
                  <c:v>1.85</c:v>
                </c:pt>
                <c:pt idx="26">
                  <c:v>6.85</c:v>
                </c:pt>
                <c:pt idx="27">
                  <c:v>6.85</c:v>
                </c:pt>
                <c:pt idx="28">
                  <c:v>6.85</c:v>
                </c:pt>
                <c:pt idx="29">
                  <c:v>6.85</c:v>
                </c:pt>
                <c:pt idx="30">
                  <c:v>6.85</c:v>
                </c:pt>
                <c:pt idx="31">
                  <c:v>6.85</c:v>
                </c:pt>
                <c:pt idx="32">
                  <c:v>8.8500000000000014</c:v>
                </c:pt>
                <c:pt idx="33">
                  <c:v>8.8500000000000014</c:v>
                </c:pt>
                <c:pt idx="34">
                  <c:v>8.5500000000000007</c:v>
                </c:pt>
                <c:pt idx="35">
                  <c:v>8.5500000000000007</c:v>
                </c:pt>
                <c:pt idx="36">
                  <c:v>8.5500000000000007</c:v>
                </c:pt>
                <c:pt idx="37">
                  <c:v>8.5500000000000007</c:v>
                </c:pt>
                <c:pt idx="38">
                  <c:v>8.5500000000000007</c:v>
                </c:pt>
                <c:pt idx="39">
                  <c:v>8.5500000000000007</c:v>
                </c:pt>
                <c:pt idx="40">
                  <c:v>8.5500000000000007</c:v>
                </c:pt>
                <c:pt idx="41">
                  <c:v>8.5500000000000007</c:v>
                </c:pt>
                <c:pt idx="42">
                  <c:v>8.5500000000000007</c:v>
                </c:pt>
                <c:pt idx="43">
                  <c:v>8.5500000000000007</c:v>
                </c:pt>
                <c:pt idx="44">
                  <c:v>8.5500000000000007</c:v>
                </c:pt>
                <c:pt idx="45">
                  <c:v>8.5500000000000007</c:v>
                </c:pt>
                <c:pt idx="46">
                  <c:v>8.5500000000000007</c:v>
                </c:pt>
                <c:pt idx="47">
                  <c:v>8.5500000000000007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A-4D1F-B3C1-FE7A9AE7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82176"/>
        <c:axId val="318251584"/>
      </c:scatterChart>
      <c:valAx>
        <c:axId val="3095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51584"/>
        <c:crosses val="autoZero"/>
        <c:crossBetween val="midCat"/>
      </c:valAx>
      <c:valAx>
        <c:axId val="3182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8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309562</xdr:colOff>
      <xdr:row>1</xdr:row>
      <xdr:rowOff>0</xdr:rowOff>
    </xdr:from>
    <xdr:to>
      <xdr:col>12</xdr:col>
      <xdr:colOff>531812</xdr:colOff>
      <xdr:row>31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312B5-F4D4-488B-A9BF-3DCD7A188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575469</xdr:colOff>
      <xdr:row>16</xdr:row>
      <xdr:rowOff>7938</xdr:rowOff>
    </xdr:from>
    <xdr:to>
      <xdr:col>23</xdr:col>
      <xdr:colOff>15875</xdr:colOff>
      <xdr:row>31</xdr:row>
      <xdr:rowOff>23814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8DE6B2-C06C-2792-8DF4-792B3C944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579437</xdr:colOff>
      <xdr:row>1</xdr:row>
      <xdr:rowOff>23813</xdr:rowOff>
    </xdr:from>
    <xdr:to>
      <xdr:col>23</xdr:col>
      <xdr:colOff>7938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1FFF16-44B0-4978-B34C-5AFE4DE51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290852</xdr:colOff>
      <xdr:row>30</xdr:row>
      <xdr:rowOff>123484</xdr:rowOff>
    </xdr:from>
    <xdr:to>
      <xdr:col>12</xdr:col>
      <xdr:colOff>564697</xdr:colOff>
      <xdr:row>46</xdr:row>
      <xdr:rowOff>153080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9A554E-5BDA-4468-DC5F-F616EE4A2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583406</xdr:colOff>
      <xdr:row>31</xdr:row>
      <xdr:rowOff>21431</xdr:rowOff>
    </xdr:from>
    <xdr:to>
      <xdr:col>22</xdr:col>
      <xdr:colOff>603249</xdr:colOff>
      <xdr:row>47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DE8E22-0758-2119-0F9E-DC1F5D483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14597</xdr:colOff>
      <xdr:row>2</xdr:row>
      <xdr:rowOff>766</xdr:rowOff>
    </xdr:from>
    <xdr:to>
      <xdr:col>12</xdr:col>
      <xdr:colOff>0</xdr:colOff>
      <xdr:row>35</xdr:row>
      <xdr:rowOff>7299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0815FD-5CDC-4C56-AE96-AF53F64A9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4071</xdr:colOff>
      <xdr:row>2</xdr:row>
      <xdr:rowOff>2677</xdr:rowOff>
    </xdr:from>
    <xdr:to>
      <xdr:col>12</xdr:col>
      <xdr:colOff>8141</xdr:colOff>
      <xdr:row>36</xdr:row>
      <xdr:rowOff>16282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49273-BE7D-408C-B196-F8A314675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8142</xdr:colOff>
      <xdr:row>2</xdr:row>
      <xdr:rowOff>10818</xdr:rowOff>
    </xdr:from>
    <xdr:to>
      <xdr:col>12</xdr:col>
      <xdr:colOff>12212</xdr:colOff>
      <xdr:row>36</xdr:row>
      <xdr:rowOff>109904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DEA17-1EC1-4A12-8DAA-8A80DD0C9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223849</xdr:colOff>
      <xdr:row>28</xdr:row>
      <xdr:rowOff>57190</xdr:rowOff>
    </xdr:from>
    <xdr:to>
      <xdr:col>35</xdr:col>
      <xdr:colOff>426912</xdr:colOff>
      <xdr:row>50</xdr:row>
      <xdr:rowOff>154120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730321-BDF8-4353-A1AF-5646DFD22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 Overcash" id="{A81B08CF-4A2F-D04F-BCDD-9F2B22D3C876}" userId="S::moverca1@jh.edu::2ff13f27-3c43-451f-8fe5-1f2b962c0a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3" dT="2025-07-24T13:42:36.81" personId="{A81B08CF-4A2F-D04F-BCDD-9F2B22D3C876}" id="{49204F15-A8F1-5F4F-9535-2B158A885BD8}">
    <text>mi355s</text>
  </threadedComment>
  <threadedComment ref="C64" dT="2025-07-24T13:40:40.39" personId="{A81B08CF-4A2F-D04F-BCDD-9F2B22D3C876}" id="{1DE3F889-B758-BA43-8982-240118F46BCF}">
    <text>Adjust for these blocks</text>
  </threadedComment>
  <threadedComment ref="C65" dT="2025-07-24T13:41:37.75" personId="{A81B08CF-4A2F-D04F-BCDD-9F2B22D3C876}" id="{30326E6E-C3BD-9E49-BF7F-A4D8117AD87C}">
    <text>new category</text>
  </threadedComment>
  <threadedComment ref="C66" dT="2025-07-24T13:42:36.81" personId="{A81B08CF-4A2F-D04F-BCDD-9F2B22D3C876}" id="{59195841-2757-0A4E-A338-374F33137343}">
    <text>mi355s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7" dT="2025-07-24T13:35:39.51" personId="{A81B08CF-4A2F-D04F-BCDD-9F2B22D3C876}" id="{46CDD2D7-7D68-EB45-821D-ADE0A2D11BAF}">
    <text>Make new HDD2 category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4" dT="2025-07-24T13:20:26.14" personId="{A81B08CF-4A2F-D04F-BCDD-9F2B22D3C876}" id="{CAE81FFB-9E8C-B041-9A1D-DF5C203A99AD}">
    <text>150 kW core foundation for Mt Wash</text>
  </threadedComment>
  <threadedComment ref="I17" dT="2025-07-24T13:28:28.57" personId="{A81B08CF-4A2F-D04F-BCDD-9F2B22D3C876}" id="{E2858294-385A-E241-8B57-80A6AE2147D3}">
    <text>Rockfish v1 goes offline</text>
  </threadedComment>
  <threadedComment ref="I21" dT="2025-07-24T13:28:48.58" personId="{A81B08CF-4A2F-D04F-BCDD-9F2B22D3C876}" id="{B2CB939E-1199-7448-A9BB-3B9D0DCF4459}">
    <text>??? why the drop??</text>
  </threadedComment>
  <threadedComment ref="I22" dT="2025-07-24T13:29:02.10" personId="{A81B08CF-4A2F-D04F-BCDD-9F2B22D3C876}" id="{485121D8-7C9E-3444-8706-D39B82958615}">
    <text>Reflects the add from IDIES</text>
  </threadedComment>
  <threadedComment ref="I22" dT="2025-07-24T13:29:26.29" personId="{A81B08CF-4A2F-D04F-BCDD-9F2B22D3C876}" id="{E0836F5D-92BF-FD4D-8908-E4480F519363}" parentId="{485121D8-7C9E-3444-8706-D39B82958615}">
    <text>.2</text>
  </threadedComment>
  <threadedComment ref="J22" dT="2025-07-24T13:22:58.42" personId="{A81B08CF-4A2F-D04F-BCDD-9F2B22D3C876}" id="{0FED14A0-942E-2A4A-A943-E8BF8D053C0B}">
    <text>Move to MARCC. Assume some of these will be retired and moving only core equipment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4A80-0195-4D2C-B3E9-BD663EB30241}">
  <dimension ref="C1:AR103"/>
  <sheetViews>
    <sheetView topLeftCell="A13" zoomScaleNormal="100" workbookViewId="0">
      <selection activeCell="Y6" sqref="Y6"/>
    </sheetView>
  </sheetViews>
  <sheetFormatPr defaultColWidth="8.85546875" defaultRowHeight="15"/>
  <cols>
    <col min="1" max="1" width="3.42578125" customWidth="1"/>
    <col min="2" max="2" width="4.7109375" customWidth="1"/>
    <col min="3" max="3" width="10.42578125" style="65" customWidth="1"/>
    <col min="4" max="4" width="11.28515625" style="65" customWidth="1"/>
    <col min="5" max="24" width="8.7109375" customWidth="1"/>
    <col min="25" max="33" width="7.140625" customWidth="1"/>
    <col min="35" max="35" width="10.42578125" customWidth="1"/>
    <col min="38" max="38" width="5.7109375" customWidth="1"/>
    <col min="41" max="41" width="10.42578125" style="101" customWidth="1"/>
    <col min="42" max="42" width="10.42578125" style="102" customWidth="1"/>
  </cols>
  <sheetData>
    <row r="1" spans="3:44" ht="9.9499999999999993" customHeight="1">
      <c r="C1" s="64"/>
      <c r="D1" s="64"/>
      <c r="AO1" s="197" t="s">
        <v>0</v>
      </c>
      <c r="AP1" s="197"/>
    </row>
    <row r="2" spans="3:44" ht="9.9499999999999993" customHeight="1">
      <c r="C2" s="64"/>
      <c r="D2" s="64"/>
      <c r="AI2" s="2"/>
      <c r="AO2" s="198" t="s">
        <v>1</v>
      </c>
      <c r="AP2" s="198"/>
    </row>
    <row r="3" spans="3:44" ht="9.9499999999999993" customHeight="1" thickBot="1">
      <c r="C3" s="64"/>
      <c r="D3" s="64"/>
      <c r="AO3" s="97" t="s">
        <v>2</v>
      </c>
      <c r="AP3" s="98" t="s">
        <v>3</v>
      </c>
      <c r="AQ3" s="153" t="s">
        <v>4</v>
      </c>
    </row>
    <row r="4" spans="3:44" ht="9.9499999999999993" customHeight="1">
      <c r="C4" s="64"/>
      <c r="D4" s="64"/>
      <c r="Y4" s="205" t="s">
        <v>5</v>
      </c>
      <c r="Z4" s="206"/>
      <c r="AA4" s="206"/>
      <c r="AB4" s="206"/>
      <c r="AC4" s="207"/>
      <c r="AO4" s="97">
        <v>2024</v>
      </c>
      <c r="AP4" s="98">
        <f>HLOOKUP(AO4,$E$49:$X$50,2)</f>
        <v>1.8045285714285715</v>
      </c>
      <c r="AQ4" s="98">
        <f>HLOOKUP($AO4,$E$57:$X$58,2)</f>
        <v>1.0101285714285715</v>
      </c>
    </row>
    <row r="5" spans="3:44" ht="9.9499999999999993" customHeight="1" thickBot="1">
      <c r="C5" s="64"/>
      <c r="D5" s="64"/>
      <c r="Y5" s="208"/>
      <c r="Z5" s="209"/>
      <c r="AA5" s="209"/>
      <c r="AB5" s="209"/>
      <c r="AC5" s="210"/>
      <c r="AO5" s="97">
        <v>2024.25</v>
      </c>
      <c r="AP5" s="99">
        <f>AP4</f>
        <v>1.8045285714285715</v>
      </c>
      <c r="AQ5" s="99">
        <f>AQ4</f>
        <v>1.0101285714285715</v>
      </c>
    </row>
    <row r="6" spans="3:44" ht="9.9499999999999993" customHeight="1">
      <c r="C6" s="64"/>
      <c r="D6" s="64"/>
      <c r="AO6" s="97">
        <v>2024.25</v>
      </c>
      <c r="AP6" s="98">
        <f>HLOOKUP(AO6,$E$49:$X$50,2)</f>
        <v>1.8045285714285715</v>
      </c>
      <c r="AQ6" s="98">
        <f>HLOOKUP($AO6,$E$57:$X$58,2)</f>
        <v>1.0101285714285715</v>
      </c>
    </row>
    <row r="7" spans="3:44" ht="9.9499999999999993" customHeight="1">
      <c r="C7" s="64"/>
      <c r="D7" s="64"/>
      <c r="X7" s="18"/>
      <c r="AO7" s="97">
        <v>2024.5</v>
      </c>
      <c r="AP7" s="99">
        <f>AP6</f>
        <v>1.8045285714285715</v>
      </c>
      <c r="AQ7" s="99">
        <f>AQ6</f>
        <v>1.0101285714285715</v>
      </c>
    </row>
    <row r="8" spans="3:44" ht="9.9499999999999993" customHeight="1">
      <c r="C8" s="64"/>
      <c r="D8" s="64"/>
      <c r="AO8" s="97">
        <v>2024.5</v>
      </c>
      <c r="AP8" s="98">
        <f>HLOOKUP(AO8,$E$49:$X$50,2)</f>
        <v>1.9559571428571432</v>
      </c>
      <c r="AQ8" s="98">
        <f>HLOOKUP($AO8,$E$57:$X$58,2)</f>
        <v>1.1615571428571432</v>
      </c>
    </row>
    <row r="9" spans="3:44" ht="9.9499999999999993" customHeight="1">
      <c r="AO9" s="97">
        <v>2024.75</v>
      </c>
      <c r="AP9" s="99">
        <f>AP8</f>
        <v>1.9559571428571432</v>
      </c>
      <c r="AQ9" s="99">
        <f>AQ8</f>
        <v>1.1615571428571432</v>
      </c>
    </row>
    <row r="10" spans="3:44" ht="9.9499999999999993" customHeight="1">
      <c r="AO10" s="97">
        <v>2024.75</v>
      </c>
      <c r="AP10" s="98">
        <f>HLOOKUP(AO10,$E$49:$X$50,2)</f>
        <v>2.2838428571428575</v>
      </c>
      <c r="AQ10" s="98">
        <f>HLOOKUP($AO10,$E$57:$X$58,2)</f>
        <v>1.4894428571428575</v>
      </c>
    </row>
    <row r="11" spans="3:44" ht="9.9499999999999993" customHeight="1">
      <c r="AO11" s="97">
        <v>2025</v>
      </c>
      <c r="AP11" s="99">
        <f>AP10</f>
        <v>2.2838428571428575</v>
      </c>
      <c r="AQ11" s="99">
        <f>AQ10</f>
        <v>1.4894428571428575</v>
      </c>
    </row>
    <row r="12" spans="3:44" ht="9.9499999999999993" customHeight="1">
      <c r="AO12" s="97">
        <v>2025</v>
      </c>
      <c r="AP12" s="98">
        <f>HLOOKUP(AO12,$E$49:$X$50,2)</f>
        <v>2.2838428571428575</v>
      </c>
      <c r="AQ12" s="98">
        <f>HLOOKUP($AO12,$E$57:$X$58,2)</f>
        <v>1.4894428571428575</v>
      </c>
      <c r="AR12" s="18"/>
    </row>
    <row r="13" spans="3:44" ht="9.9499999999999993" customHeight="1">
      <c r="AO13" s="97">
        <v>2025.25</v>
      </c>
      <c r="AP13" s="99">
        <f>AP12</f>
        <v>2.2838428571428575</v>
      </c>
      <c r="AQ13" s="99">
        <f>AQ12</f>
        <v>1.4894428571428575</v>
      </c>
    </row>
    <row r="14" spans="3:44" ht="9.9499999999999993" customHeight="1">
      <c r="AO14" s="97">
        <v>2025.25</v>
      </c>
      <c r="AP14" s="98">
        <f>HLOOKUP(AO14,$E$49:$X$50,2)</f>
        <v>2.2838428571428575</v>
      </c>
      <c r="AQ14" s="98">
        <f>HLOOKUP($AO14,$E$57:$X$58,2)</f>
        <v>1.4894428571428575</v>
      </c>
    </row>
    <row r="15" spans="3:44" ht="9.9499999999999993" customHeight="1">
      <c r="AO15" s="97">
        <v>2025.5</v>
      </c>
      <c r="AP15" s="99">
        <f>AP14</f>
        <v>2.2838428571428575</v>
      </c>
      <c r="AQ15" s="99">
        <f>AQ14</f>
        <v>1.4894428571428575</v>
      </c>
    </row>
    <row r="16" spans="3:44" ht="9.9499999999999993" customHeight="1">
      <c r="AO16" s="97">
        <v>2025.5</v>
      </c>
      <c r="AP16" s="98">
        <f>HLOOKUP(AO16,$E$49:$X$50,2)</f>
        <v>2.3484285714285718</v>
      </c>
      <c r="AQ16" s="98">
        <f>HLOOKUP($AO16,$E$57:$X$58,2)</f>
        <v>1.4894428571428575</v>
      </c>
    </row>
    <row r="17" spans="41:43" ht="9.9499999999999993" customHeight="1">
      <c r="AO17" s="97">
        <v>2025.75</v>
      </c>
      <c r="AP17" s="99">
        <f>AP16</f>
        <v>2.3484285714285718</v>
      </c>
      <c r="AQ17" s="99">
        <f>AQ16</f>
        <v>1.4894428571428575</v>
      </c>
    </row>
    <row r="18" spans="41:43" ht="9.9499999999999993" customHeight="1">
      <c r="AO18" s="97">
        <v>2025.75</v>
      </c>
      <c r="AP18" s="98">
        <f>HLOOKUP(AO18,$E$49:$X$50,2)</f>
        <v>2.5695714285714288</v>
      </c>
      <c r="AQ18" s="98">
        <f>HLOOKUP($AO18,$E$57:$X$58,2)</f>
        <v>1.7105857142857146</v>
      </c>
    </row>
    <row r="19" spans="41:43" ht="9.9499999999999993" customHeight="1">
      <c r="AO19" s="97">
        <v>2026</v>
      </c>
      <c r="AP19" s="99">
        <f>AP18</f>
        <v>2.5695714285714288</v>
      </c>
      <c r="AQ19" s="99">
        <f>AQ18</f>
        <v>1.7105857142857146</v>
      </c>
    </row>
    <row r="20" spans="41:43" ht="9.9499999999999993" customHeight="1">
      <c r="AO20" s="97">
        <v>2026</v>
      </c>
      <c r="AP20" s="98">
        <f>HLOOKUP(AO20,$E$49:$X$50,2)</f>
        <v>2.5695714285714288</v>
      </c>
      <c r="AQ20" s="98">
        <f>HLOOKUP($AO20,$E$57:$X$58,2)</f>
        <v>1.7105857142857146</v>
      </c>
    </row>
    <row r="21" spans="41:43" ht="9.9499999999999993" customHeight="1">
      <c r="AO21" s="97">
        <v>2026.25</v>
      </c>
      <c r="AP21" s="99">
        <f>AP20</f>
        <v>2.5695714285714288</v>
      </c>
      <c r="AQ21" s="99">
        <f>AQ20</f>
        <v>1.7105857142857146</v>
      </c>
    </row>
    <row r="22" spans="41:43" ht="9.9499999999999993" customHeight="1">
      <c r="AO22" s="97">
        <v>2026.25</v>
      </c>
      <c r="AP22" s="98">
        <f>HLOOKUP(AO22,$E$49:$X$50,2)</f>
        <v>2.5695714285714288</v>
      </c>
      <c r="AQ22" s="98">
        <f>HLOOKUP($AO22,$E$57:$X$58,2)</f>
        <v>1.7105857142857146</v>
      </c>
    </row>
    <row r="23" spans="41:43" ht="9.9499999999999993" customHeight="1">
      <c r="AO23" s="97">
        <v>2026.5</v>
      </c>
      <c r="AP23" s="99">
        <f>AP22</f>
        <v>2.5695714285714288</v>
      </c>
      <c r="AQ23" s="99">
        <f>AQ22</f>
        <v>1.7105857142857146</v>
      </c>
    </row>
    <row r="24" spans="41:43" ht="9.9499999999999993" customHeight="1">
      <c r="AO24" s="97">
        <v>2026.5</v>
      </c>
      <c r="AP24" s="98">
        <f>HLOOKUP(AO24,$E$49:$X$50,2)</f>
        <v>2.5695714285714288</v>
      </c>
      <c r="AQ24" s="98">
        <f>HLOOKUP($AO24,$E$57:$X$58,2)</f>
        <v>1.7105857142857146</v>
      </c>
    </row>
    <row r="25" spans="41:43" ht="9.9499999999999993" customHeight="1">
      <c r="AO25" s="97">
        <v>2026.75</v>
      </c>
      <c r="AP25" s="99">
        <f>AP24</f>
        <v>2.5695714285714288</v>
      </c>
      <c r="AQ25" s="99">
        <f>AQ24</f>
        <v>1.7105857142857146</v>
      </c>
    </row>
    <row r="26" spans="41:43" ht="9.9499999999999993" customHeight="1">
      <c r="AO26" s="97">
        <v>2026.75</v>
      </c>
      <c r="AP26" s="98">
        <f>HLOOKUP(AO26,$E$49:$X$50,2)</f>
        <v>2.5695714285714288</v>
      </c>
      <c r="AQ26" s="98">
        <f>HLOOKUP($AO26,$E$57:$X$58,2)</f>
        <v>1.7105857142857146</v>
      </c>
    </row>
    <row r="27" spans="41:43" ht="9.9499999999999993" customHeight="1">
      <c r="AO27" s="97">
        <v>2027</v>
      </c>
      <c r="AP27" s="99">
        <f>AP26</f>
        <v>2.5695714285714288</v>
      </c>
      <c r="AQ27" s="99">
        <f>AQ26</f>
        <v>1.7105857142857146</v>
      </c>
    </row>
    <row r="28" spans="41:43" ht="9.9499999999999993" customHeight="1">
      <c r="AO28" s="97">
        <v>2027</v>
      </c>
      <c r="AP28" s="98">
        <f>HLOOKUP(AO28,$E$49:$X$50,2)</f>
        <v>2.5695714285714288</v>
      </c>
      <c r="AQ28" s="98">
        <f>HLOOKUP($AO28,$E$57:$X$58,2)</f>
        <v>1.7105857142857146</v>
      </c>
    </row>
    <row r="29" spans="41:43" ht="9.9499999999999993" customHeight="1">
      <c r="AO29" s="97">
        <v>2027.25</v>
      </c>
      <c r="AP29" s="99">
        <f>AP28</f>
        <v>2.5695714285714288</v>
      </c>
      <c r="AQ29" s="99">
        <f>AQ28</f>
        <v>1.7105857142857146</v>
      </c>
    </row>
    <row r="30" spans="41:43" ht="9.9499999999999993" customHeight="1">
      <c r="AO30" s="97">
        <v>2027.25</v>
      </c>
      <c r="AP30" s="98">
        <f>HLOOKUP(AO30,$E$49:$X$50,2)</f>
        <v>1.3074428571428574</v>
      </c>
      <c r="AQ30" s="98">
        <f>HLOOKUP($AO30,$E$57:$X$58,2)</f>
        <v>0.948457142857143</v>
      </c>
    </row>
    <row r="31" spans="41:43" ht="9.9499999999999993" customHeight="1">
      <c r="AO31" s="97">
        <v>2027.5</v>
      </c>
      <c r="AP31" s="99">
        <f>AP30</f>
        <v>1.3074428571428574</v>
      </c>
      <c r="AQ31" s="99">
        <f>AQ30</f>
        <v>0.948457142857143</v>
      </c>
    </row>
    <row r="32" spans="41:43" ht="9.9499999999999993" customHeight="1">
      <c r="AO32" s="97">
        <v>2027.5</v>
      </c>
      <c r="AP32" s="98">
        <f>HLOOKUP(AO32,$E$49:$X$50,2)</f>
        <v>1.3074428571428574</v>
      </c>
      <c r="AQ32" s="98">
        <f>HLOOKUP($AO32,$E$57:$X$58,2)</f>
        <v>0.948457142857143</v>
      </c>
    </row>
    <row r="33" spans="3:43" ht="9.9499999999999993" customHeight="1">
      <c r="AO33" s="97">
        <v>2027.75</v>
      </c>
      <c r="AP33" s="99">
        <f>AP32</f>
        <v>1.3074428571428574</v>
      </c>
      <c r="AQ33" s="99">
        <f>AQ32</f>
        <v>0.948457142857143</v>
      </c>
    </row>
    <row r="34" spans="3:43" ht="9.9499999999999993" customHeight="1">
      <c r="AO34" s="97">
        <v>2027.75</v>
      </c>
      <c r="AP34" s="98">
        <f>HLOOKUP(AO34,$E$49:$X$50,2)</f>
        <v>1.3074428571428574</v>
      </c>
      <c r="AQ34" s="98">
        <f>HLOOKUP($AO34,$E$57:$X$58,2)</f>
        <v>0.948457142857143</v>
      </c>
    </row>
    <row r="35" spans="3:43" ht="9.9499999999999993" customHeight="1">
      <c r="AO35" s="97">
        <v>2028</v>
      </c>
      <c r="AP35" s="99">
        <f>AP34</f>
        <v>1.3074428571428574</v>
      </c>
      <c r="AQ35" s="99">
        <f>AQ34</f>
        <v>0.948457142857143</v>
      </c>
    </row>
    <row r="36" spans="3:43" ht="9.9499999999999993" customHeight="1">
      <c r="AO36" s="100">
        <v>2028</v>
      </c>
      <c r="AP36" s="98">
        <f>HLOOKUP(AO36,$E$49:$X$50,2)</f>
        <v>1.3074428571428574</v>
      </c>
      <c r="AQ36" s="98">
        <f>HLOOKUP($AO36,$E$57:$X$58,2)</f>
        <v>0.948457142857143</v>
      </c>
    </row>
    <row r="37" spans="3:43" ht="9.9499999999999993" customHeight="1">
      <c r="AO37" s="97">
        <v>2028.25</v>
      </c>
      <c r="AP37" s="99">
        <f>AP36</f>
        <v>1.3074428571428574</v>
      </c>
      <c r="AQ37" s="99">
        <f>AQ36</f>
        <v>0.948457142857143</v>
      </c>
    </row>
    <row r="38" spans="3:43" ht="9.9499999999999993" customHeight="1">
      <c r="AO38" s="97">
        <v>2028.25</v>
      </c>
      <c r="AP38" s="98">
        <f>HLOOKUP(AO38,$E$49:$X$50,2)</f>
        <v>1.3074428571428574</v>
      </c>
      <c r="AQ38" s="98">
        <f>HLOOKUP($AO38,$E$57:$X$58,2)</f>
        <v>0.948457142857143</v>
      </c>
    </row>
    <row r="39" spans="3:43" ht="9.9499999999999993" customHeight="1">
      <c r="AO39" s="97">
        <v>2028.5</v>
      </c>
      <c r="AP39" s="99">
        <f>AP38</f>
        <v>1.3074428571428574</v>
      </c>
      <c r="AQ39" s="99">
        <f>AQ38</f>
        <v>0.948457142857143</v>
      </c>
    </row>
    <row r="40" spans="3:43" ht="9.9499999999999993" customHeight="1">
      <c r="AO40" s="97">
        <v>2028.5</v>
      </c>
      <c r="AP40" s="98">
        <f>HLOOKUP(AO40,$E$49:$X$50,2)</f>
        <v>0.98344285714285729</v>
      </c>
      <c r="AQ40" s="98">
        <f>HLOOKUP($AO40,$E$57:$X$58,2)</f>
        <v>0.62445714285714293</v>
      </c>
    </row>
    <row r="41" spans="3:43" ht="9.9499999999999993" customHeight="1">
      <c r="C41" s="64"/>
      <c r="D41" s="64"/>
      <c r="AO41" s="97">
        <v>2028.75</v>
      </c>
      <c r="AP41" s="99">
        <f>AP40</f>
        <v>0.98344285714285729</v>
      </c>
      <c r="AQ41" s="99">
        <f>AQ40</f>
        <v>0.62445714285714293</v>
      </c>
    </row>
    <row r="42" spans="3:43" ht="9.9499999999999993" customHeight="1">
      <c r="C42" s="66"/>
      <c r="D42" s="66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O42" s="97">
        <v>2028.75</v>
      </c>
      <c r="AP42" s="98">
        <f>HLOOKUP(AO42,$E$49:$X$50,2)</f>
        <v>0.98344285714285729</v>
      </c>
      <c r="AQ42" s="98">
        <f>HLOOKUP($AO42,$E$57:$X$58,2)</f>
        <v>0.62445714285714293</v>
      </c>
    </row>
    <row r="43" spans="3:43">
      <c r="C43" s="66"/>
      <c r="D43" s="66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</row>
    <row r="44" spans="3:43">
      <c r="C44" s="66"/>
      <c r="D44" s="66"/>
    </row>
    <row r="45" spans="3:43">
      <c r="C45" s="94"/>
      <c r="D45" s="94"/>
    </row>
    <row r="46" spans="3:43">
      <c r="C46" s="94"/>
      <c r="D46" s="94"/>
    </row>
    <row r="47" spans="3:43">
      <c r="C47" s="94"/>
      <c r="D47" s="94"/>
    </row>
    <row r="48" spans="3:43" ht="14.45" customHeight="1">
      <c r="Y48" s="25"/>
      <c r="Z48" s="25"/>
      <c r="AA48" s="25"/>
      <c r="AB48" s="25"/>
      <c r="AC48" s="25"/>
      <c r="AD48" s="25"/>
      <c r="AE48" s="25"/>
      <c r="AF48" s="25"/>
      <c r="AG48" s="25"/>
    </row>
    <row r="49" spans="3:42" s="18" customFormat="1" ht="14.45" customHeight="1">
      <c r="C49" s="202" t="s">
        <v>6</v>
      </c>
      <c r="D49" s="154" t="s">
        <v>2</v>
      </c>
      <c r="E49" s="155">
        <v>2024</v>
      </c>
      <c r="F49" s="155">
        <v>2024.25</v>
      </c>
      <c r="G49" s="155">
        <v>2024.5</v>
      </c>
      <c r="H49" s="155">
        <v>2024.75</v>
      </c>
      <c r="I49" s="155">
        <v>2025</v>
      </c>
      <c r="J49" s="155">
        <v>2025.25</v>
      </c>
      <c r="K49" s="155">
        <f t="shared" ref="K49:X49" si="0">J49+0.25</f>
        <v>2025.5</v>
      </c>
      <c r="L49" s="155">
        <f t="shared" si="0"/>
        <v>2025.75</v>
      </c>
      <c r="M49" s="155">
        <f t="shared" si="0"/>
        <v>2026</v>
      </c>
      <c r="N49" s="155">
        <f t="shared" si="0"/>
        <v>2026.25</v>
      </c>
      <c r="O49" s="155">
        <f t="shared" si="0"/>
        <v>2026.5</v>
      </c>
      <c r="P49" s="155">
        <f t="shared" si="0"/>
        <v>2026.75</v>
      </c>
      <c r="Q49" s="155">
        <f t="shared" si="0"/>
        <v>2027</v>
      </c>
      <c r="R49" s="155">
        <f t="shared" si="0"/>
        <v>2027.25</v>
      </c>
      <c r="S49" s="155">
        <f t="shared" si="0"/>
        <v>2027.5</v>
      </c>
      <c r="T49" s="155">
        <f t="shared" si="0"/>
        <v>2027.75</v>
      </c>
      <c r="U49" s="155">
        <f t="shared" si="0"/>
        <v>2028</v>
      </c>
      <c r="V49" s="155">
        <f t="shared" si="0"/>
        <v>2028.25</v>
      </c>
      <c r="W49" s="155">
        <f t="shared" si="0"/>
        <v>2028.5</v>
      </c>
      <c r="X49" s="155">
        <f t="shared" si="0"/>
        <v>2028.75</v>
      </c>
      <c r="AO49" s="101"/>
      <c r="AP49" s="102"/>
    </row>
    <row r="50" spans="3:42">
      <c r="C50" s="203"/>
      <c r="D50" s="156" t="s">
        <v>7</v>
      </c>
      <c r="E50" s="157">
        <f t="shared" ref="E50:X50" si="1">SUM(E51:E53)</f>
        <v>1.8045285714285715</v>
      </c>
      <c r="F50" s="157">
        <f t="shared" si="1"/>
        <v>1.8045285714285715</v>
      </c>
      <c r="G50" s="157">
        <f t="shared" si="1"/>
        <v>1.9559571428571432</v>
      </c>
      <c r="H50" s="157">
        <f t="shared" si="1"/>
        <v>2.2838428571428575</v>
      </c>
      <c r="I50" s="157">
        <f t="shared" si="1"/>
        <v>2.2838428571428575</v>
      </c>
      <c r="J50" s="157">
        <f t="shared" si="1"/>
        <v>2.2838428571428575</v>
      </c>
      <c r="K50" s="157">
        <f t="shared" si="1"/>
        <v>2.3484285714285718</v>
      </c>
      <c r="L50" s="157">
        <f t="shared" si="1"/>
        <v>2.5695714285714288</v>
      </c>
      <c r="M50" s="157">
        <f t="shared" si="1"/>
        <v>2.5695714285714288</v>
      </c>
      <c r="N50" s="157">
        <f t="shared" si="1"/>
        <v>2.5695714285714288</v>
      </c>
      <c r="O50" s="157">
        <f t="shared" si="1"/>
        <v>2.5695714285714288</v>
      </c>
      <c r="P50" s="157">
        <f t="shared" si="1"/>
        <v>2.5695714285714288</v>
      </c>
      <c r="Q50" s="157">
        <f t="shared" si="1"/>
        <v>2.5695714285714288</v>
      </c>
      <c r="R50" s="157">
        <f t="shared" si="1"/>
        <v>1.3074428571428574</v>
      </c>
      <c r="S50" s="157">
        <f t="shared" si="1"/>
        <v>1.3074428571428574</v>
      </c>
      <c r="T50" s="157">
        <f t="shared" si="1"/>
        <v>1.3074428571428574</v>
      </c>
      <c r="U50" s="157">
        <f t="shared" si="1"/>
        <v>1.3074428571428574</v>
      </c>
      <c r="V50" s="157">
        <f t="shared" si="1"/>
        <v>1.3074428571428574</v>
      </c>
      <c r="W50" s="157">
        <f t="shared" si="1"/>
        <v>0.98344285714285729</v>
      </c>
      <c r="X50" s="157">
        <f t="shared" si="1"/>
        <v>0.98344285714285729</v>
      </c>
    </row>
    <row r="51" spans="3:42">
      <c r="C51" s="203"/>
      <c r="D51" s="95" t="s">
        <v>8</v>
      </c>
      <c r="E51" s="52">
        <f>BayView!K48</f>
        <v>0.91212857142857151</v>
      </c>
      <c r="F51" s="52">
        <f>BayView!L48</f>
        <v>0.91212857142857151</v>
      </c>
      <c r="G51" s="52">
        <f>BayView!M48</f>
        <v>0.91212857142857151</v>
      </c>
      <c r="H51" s="52">
        <f>BayView!N48</f>
        <v>1.240014285714286</v>
      </c>
      <c r="I51" s="52">
        <f>BayView!O48</f>
        <v>1.240014285714286</v>
      </c>
      <c r="J51" s="52">
        <f>BayView!P48</f>
        <v>1.240014285714286</v>
      </c>
      <c r="K51" s="52">
        <f>BayView!Q48</f>
        <v>1.240014285714286</v>
      </c>
      <c r="L51" s="52">
        <f>BayView!R48</f>
        <v>1.3754428571428574</v>
      </c>
      <c r="M51" s="52">
        <f>BayView!S48</f>
        <v>1.3754428571428574</v>
      </c>
      <c r="N51" s="52">
        <f>BayView!T48</f>
        <v>1.3754428571428574</v>
      </c>
      <c r="O51" s="52">
        <f>BayView!U48</f>
        <v>1.3754428571428574</v>
      </c>
      <c r="P51" s="52">
        <f>BayView!V48</f>
        <v>1.3754428571428574</v>
      </c>
      <c r="Q51" s="52">
        <f>BayView!W48</f>
        <v>1.3754428571428574</v>
      </c>
      <c r="R51" s="52">
        <f>BayView!X48</f>
        <v>0.61331428571428581</v>
      </c>
      <c r="S51" s="52">
        <f>BayView!Y48</f>
        <v>0.61331428571428581</v>
      </c>
      <c r="T51" s="52">
        <f>BayView!Z48</f>
        <v>0.61331428571428581</v>
      </c>
      <c r="U51" s="52">
        <f>BayView!AA48</f>
        <v>0.61331428571428581</v>
      </c>
      <c r="V51" s="52">
        <f>BayView!AB48</f>
        <v>0.61331428571428581</v>
      </c>
      <c r="W51" s="52">
        <f>BayView!AC48</f>
        <v>0.28931428571428575</v>
      </c>
      <c r="X51" s="52">
        <f>BayView!AD48</f>
        <v>0.28931428571428575</v>
      </c>
    </row>
    <row r="52" spans="3:42">
      <c r="C52" s="203"/>
      <c r="D52" s="96" t="s">
        <v>9</v>
      </c>
      <c r="E52" s="52">
        <f>Mt.Wash!K48</f>
        <v>0.59800000000000009</v>
      </c>
      <c r="F52" s="52">
        <f>Mt.Wash!L48</f>
        <v>0.59800000000000009</v>
      </c>
      <c r="G52" s="52">
        <f>Mt.Wash!M48</f>
        <v>0.74942857142857155</v>
      </c>
      <c r="H52" s="52">
        <f>Mt.Wash!N48</f>
        <v>0.74942857142857155</v>
      </c>
      <c r="I52" s="52">
        <f>Mt.Wash!O48</f>
        <v>0.74942857142857155</v>
      </c>
      <c r="J52" s="52">
        <f>Mt.Wash!P48</f>
        <v>0.74942857142857155</v>
      </c>
      <c r="K52" s="52">
        <f>Mt.Wash!Q48</f>
        <v>0.74942857142857155</v>
      </c>
      <c r="L52" s="52">
        <f>Mt.Wash!R48</f>
        <v>0.8351428571428573</v>
      </c>
      <c r="M52" s="52">
        <f>Mt.Wash!S48</f>
        <v>0.8351428571428573</v>
      </c>
      <c r="N52" s="52">
        <f>Mt.Wash!T48</f>
        <v>0.8351428571428573</v>
      </c>
      <c r="O52" s="52">
        <f>Mt.Wash!U48</f>
        <v>0.8351428571428573</v>
      </c>
      <c r="P52" s="52">
        <f>Mt.Wash!V48</f>
        <v>0.8351428571428573</v>
      </c>
      <c r="Q52" s="52">
        <f>Mt.Wash!W48</f>
        <v>0.8351428571428573</v>
      </c>
      <c r="R52" s="52">
        <f>Mt.Wash!X48</f>
        <v>0.33514285714285719</v>
      </c>
      <c r="S52" s="52">
        <f>Mt.Wash!Y48</f>
        <v>0.33514285714285719</v>
      </c>
      <c r="T52" s="52">
        <f>Mt.Wash!Z48</f>
        <v>0.33514285714285719</v>
      </c>
      <c r="U52" s="52">
        <f>Mt.Wash!AA48</f>
        <v>0.33514285714285719</v>
      </c>
      <c r="V52" s="52">
        <f>Mt.Wash!AB48</f>
        <v>0.33514285714285719</v>
      </c>
      <c r="W52" s="52">
        <f>Mt.Wash!AC48</f>
        <v>0.33514285714285719</v>
      </c>
      <c r="X52" s="52">
        <f>Mt.Wash!AD48</f>
        <v>0.33514285714285719</v>
      </c>
    </row>
    <row r="53" spans="3:42">
      <c r="C53" s="204"/>
      <c r="D53" s="96" t="s">
        <v>10</v>
      </c>
      <c r="E53" s="52">
        <f>Bloomberg!K48</f>
        <v>0.29440000000000005</v>
      </c>
      <c r="F53" s="52">
        <f>Bloomberg!L48</f>
        <v>0.29440000000000005</v>
      </c>
      <c r="G53" s="52">
        <f>Bloomberg!M48</f>
        <v>0.29440000000000005</v>
      </c>
      <c r="H53" s="52">
        <f>Bloomberg!N48</f>
        <v>0.29440000000000005</v>
      </c>
      <c r="I53" s="52">
        <f>Bloomberg!O48</f>
        <v>0.29440000000000005</v>
      </c>
      <c r="J53" s="52">
        <f>Bloomberg!P48</f>
        <v>0.29440000000000005</v>
      </c>
      <c r="K53" s="52">
        <f>Bloomberg!Q48</f>
        <v>0.35898571428571435</v>
      </c>
      <c r="L53" s="52">
        <f>Bloomberg!R48</f>
        <v>0.35898571428571435</v>
      </c>
      <c r="M53" s="52">
        <f>Bloomberg!S48</f>
        <v>0.35898571428571435</v>
      </c>
      <c r="N53" s="52">
        <f>Bloomberg!T48</f>
        <v>0.35898571428571435</v>
      </c>
      <c r="O53" s="52">
        <f>Bloomberg!U48</f>
        <v>0.35898571428571435</v>
      </c>
      <c r="P53" s="52">
        <f>Bloomberg!V48</f>
        <v>0.35898571428571435</v>
      </c>
      <c r="Q53" s="52">
        <f>Bloomberg!W48</f>
        <v>0.35898571428571435</v>
      </c>
      <c r="R53" s="52">
        <f>Bloomberg!X48</f>
        <v>0.35898571428571435</v>
      </c>
      <c r="S53" s="52">
        <f>Bloomberg!Y48</f>
        <v>0.35898571428571435</v>
      </c>
      <c r="T53" s="52">
        <f>Bloomberg!Z48</f>
        <v>0.35898571428571435</v>
      </c>
      <c r="U53" s="52">
        <f>Bloomberg!AA48</f>
        <v>0.35898571428571435</v>
      </c>
      <c r="V53" s="52">
        <f>Bloomberg!AB48</f>
        <v>0.35898571428571435</v>
      </c>
      <c r="W53" s="52">
        <f>Bloomberg!AC48</f>
        <v>0.35898571428571435</v>
      </c>
      <c r="X53" s="52">
        <f>Bloomberg!AD48</f>
        <v>0.35898571428571435</v>
      </c>
    </row>
    <row r="54" spans="3:42">
      <c r="C54" s="131" t="s">
        <v>11</v>
      </c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</row>
    <row r="55" spans="3:42">
      <c r="C55" s="130"/>
      <c r="D55" s="131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</row>
    <row r="56" spans="3:42">
      <c r="C56" s="130"/>
      <c r="D56" s="131"/>
      <c r="E56" s="92"/>
      <c r="F56" s="92"/>
      <c r="G56" s="92"/>
      <c r="H56" s="92"/>
      <c r="I56" s="92"/>
      <c r="J56" s="92"/>
      <c r="K56" s="92"/>
      <c r="L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</row>
    <row r="57" spans="3:42" ht="14.45" customHeight="1">
      <c r="C57" s="202" t="s">
        <v>12</v>
      </c>
      <c r="D57" s="118" t="s">
        <v>2</v>
      </c>
      <c r="E57" s="119">
        <v>2024</v>
      </c>
      <c r="F57" s="119">
        <v>2024.25</v>
      </c>
      <c r="G57" s="119">
        <v>2024.5</v>
      </c>
      <c r="H57" s="119">
        <v>2024.75</v>
      </c>
      <c r="I57" s="119">
        <v>2025</v>
      </c>
      <c r="J57" s="119">
        <v>2025.25</v>
      </c>
      <c r="K57" s="119">
        <f t="shared" ref="K57:X57" si="2">J57+0.25</f>
        <v>2025.5</v>
      </c>
      <c r="L57" s="119">
        <f t="shared" si="2"/>
        <v>2025.75</v>
      </c>
      <c r="M57" s="119">
        <f t="shared" si="2"/>
        <v>2026</v>
      </c>
      <c r="N57" s="119">
        <f t="shared" si="2"/>
        <v>2026.25</v>
      </c>
      <c r="O57" s="119">
        <f t="shared" si="2"/>
        <v>2026.5</v>
      </c>
      <c r="P57" s="119">
        <f t="shared" si="2"/>
        <v>2026.75</v>
      </c>
      <c r="Q57" s="119">
        <f t="shared" si="2"/>
        <v>2027</v>
      </c>
      <c r="R57" s="119">
        <f t="shared" si="2"/>
        <v>2027.25</v>
      </c>
      <c r="S57" s="119">
        <f t="shared" si="2"/>
        <v>2027.5</v>
      </c>
      <c r="T57" s="119">
        <f t="shared" si="2"/>
        <v>2027.75</v>
      </c>
      <c r="U57" s="119">
        <f t="shared" si="2"/>
        <v>2028</v>
      </c>
      <c r="V57" s="119">
        <f t="shared" si="2"/>
        <v>2028.25</v>
      </c>
      <c r="W57" s="119">
        <f t="shared" si="2"/>
        <v>2028.5</v>
      </c>
      <c r="X57" s="119">
        <f t="shared" si="2"/>
        <v>2028.75</v>
      </c>
    </row>
    <row r="58" spans="3:42">
      <c r="C58" s="203"/>
      <c r="D58" s="120" t="s">
        <v>7</v>
      </c>
      <c r="E58" s="121">
        <f t="shared" ref="E58:X58" si="3">SUM(E59:E61)</f>
        <v>1.0101285714285715</v>
      </c>
      <c r="F58" s="121">
        <f t="shared" si="3"/>
        <v>1.0101285714285715</v>
      </c>
      <c r="G58" s="121">
        <f t="shared" si="3"/>
        <v>1.1615571428571432</v>
      </c>
      <c r="H58" s="121">
        <f t="shared" si="3"/>
        <v>1.4894428571428575</v>
      </c>
      <c r="I58" s="121">
        <f t="shared" si="3"/>
        <v>1.4894428571428575</v>
      </c>
      <c r="J58" s="121">
        <f t="shared" si="3"/>
        <v>1.4894428571428575</v>
      </c>
      <c r="K58" s="121">
        <f t="shared" si="3"/>
        <v>1.4894428571428575</v>
      </c>
      <c r="L58" s="121">
        <f t="shared" si="3"/>
        <v>1.7105857142857146</v>
      </c>
      <c r="M58" s="121">
        <f t="shared" si="3"/>
        <v>1.7105857142857146</v>
      </c>
      <c r="N58" s="121">
        <f t="shared" si="3"/>
        <v>1.7105857142857146</v>
      </c>
      <c r="O58" s="121">
        <f t="shared" si="3"/>
        <v>1.7105857142857146</v>
      </c>
      <c r="P58" s="121">
        <f t="shared" si="3"/>
        <v>1.7105857142857146</v>
      </c>
      <c r="Q58" s="121">
        <f t="shared" si="3"/>
        <v>1.7105857142857146</v>
      </c>
      <c r="R58" s="121">
        <f t="shared" si="3"/>
        <v>0.948457142857143</v>
      </c>
      <c r="S58" s="121">
        <f t="shared" si="3"/>
        <v>0.948457142857143</v>
      </c>
      <c r="T58" s="121">
        <f t="shared" si="3"/>
        <v>0.948457142857143</v>
      </c>
      <c r="U58" s="121">
        <f t="shared" si="3"/>
        <v>0.948457142857143</v>
      </c>
      <c r="V58" s="121">
        <f t="shared" si="3"/>
        <v>0.948457142857143</v>
      </c>
      <c r="W58" s="121">
        <f t="shared" si="3"/>
        <v>0.62445714285714293</v>
      </c>
      <c r="X58" s="121">
        <f t="shared" si="3"/>
        <v>0.62445714285714293</v>
      </c>
    </row>
    <row r="59" spans="3:42">
      <c r="C59" s="203"/>
      <c r="D59" s="95" t="s">
        <v>8</v>
      </c>
      <c r="E59" s="52">
        <f>BayView!K46</f>
        <v>0.91212857142857151</v>
      </c>
      <c r="F59" s="52">
        <f>BayView!L46</f>
        <v>0.91212857142857151</v>
      </c>
      <c r="G59" s="52">
        <f>BayView!M46</f>
        <v>0.91212857142857151</v>
      </c>
      <c r="H59" s="52">
        <f>BayView!N46</f>
        <v>1.240014285714286</v>
      </c>
      <c r="I59" s="52">
        <f>BayView!O46</f>
        <v>1.240014285714286</v>
      </c>
      <c r="J59" s="52">
        <f>BayView!P46</f>
        <v>1.240014285714286</v>
      </c>
      <c r="K59" s="52">
        <f>BayView!Q46</f>
        <v>1.240014285714286</v>
      </c>
      <c r="L59" s="52">
        <f>BayView!R46</f>
        <v>1.3754428571428574</v>
      </c>
      <c r="M59" s="52">
        <f>BayView!S46</f>
        <v>1.3754428571428574</v>
      </c>
      <c r="N59" s="52">
        <f>BayView!T46</f>
        <v>1.3754428571428574</v>
      </c>
      <c r="O59" s="52">
        <f>BayView!U46</f>
        <v>1.3754428571428574</v>
      </c>
      <c r="P59" s="52">
        <f>BayView!V46</f>
        <v>1.3754428571428574</v>
      </c>
      <c r="Q59" s="52">
        <f>BayView!W46</f>
        <v>1.3754428571428574</v>
      </c>
      <c r="R59" s="52">
        <f>BayView!X46</f>
        <v>0.61331428571428581</v>
      </c>
      <c r="S59" s="52">
        <f>BayView!Y46</f>
        <v>0.61331428571428581</v>
      </c>
      <c r="T59" s="52">
        <f>BayView!Z46</f>
        <v>0.61331428571428581</v>
      </c>
      <c r="U59" s="52">
        <f>BayView!AA46</f>
        <v>0.61331428571428581</v>
      </c>
      <c r="V59" s="52">
        <f>BayView!AB46</f>
        <v>0.61331428571428581</v>
      </c>
      <c r="W59" s="52">
        <f>BayView!AC46</f>
        <v>0.28931428571428575</v>
      </c>
      <c r="X59" s="52">
        <f>BayView!AD46</f>
        <v>0.28931428571428575</v>
      </c>
    </row>
    <row r="60" spans="3:42">
      <c r="C60" s="203"/>
      <c r="D60" s="96" t="s">
        <v>9</v>
      </c>
      <c r="E60" s="52">
        <f>Mt.Wash!K46</f>
        <v>9.8000000000000087E-2</v>
      </c>
      <c r="F60" s="52">
        <f>Mt.Wash!L46</f>
        <v>9.8000000000000087E-2</v>
      </c>
      <c r="G60" s="52">
        <f>Mt.Wash!M46</f>
        <v>0.24942857142857155</v>
      </c>
      <c r="H60" s="52">
        <f>Mt.Wash!N46</f>
        <v>0.24942857142857155</v>
      </c>
      <c r="I60" s="52">
        <f>Mt.Wash!O46</f>
        <v>0.24942857142857155</v>
      </c>
      <c r="J60" s="52">
        <f>Mt.Wash!P46</f>
        <v>0.24942857142857155</v>
      </c>
      <c r="K60" s="52">
        <f>Mt.Wash!Q46</f>
        <v>0.24942857142857155</v>
      </c>
      <c r="L60" s="52">
        <f>Mt.Wash!R46</f>
        <v>0.3351428571428573</v>
      </c>
      <c r="M60" s="52">
        <f>Mt.Wash!S46</f>
        <v>0.3351428571428573</v>
      </c>
      <c r="N60" s="52">
        <f>Mt.Wash!T46</f>
        <v>0.3351428571428573</v>
      </c>
      <c r="O60" s="52">
        <f>Mt.Wash!U46</f>
        <v>0.3351428571428573</v>
      </c>
      <c r="P60" s="52">
        <f>Mt.Wash!V46</f>
        <v>0.3351428571428573</v>
      </c>
      <c r="Q60" s="52">
        <f>Mt.Wash!W46</f>
        <v>0.3351428571428573</v>
      </c>
      <c r="R60" s="52">
        <f>Mt.Wash!X46</f>
        <v>0.33514285714285719</v>
      </c>
      <c r="S60" s="52">
        <f>Mt.Wash!Y46</f>
        <v>0.33514285714285719</v>
      </c>
      <c r="T60" s="52">
        <f>Mt.Wash!Z46</f>
        <v>0.33514285714285719</v>
      </c>
      <c r="U60" s="52">
        <f>Mt.Wash!AA46</f>
        <v>0.33514285714285719</v>
      </c>
      <c r="V60" s="52">
        <f>Mt.Wash!AB46</f>
        <v>0.33514285714285719</v>
      </c>
      <c r="W60" s="52">
        <f>Mt.Wash!AC46</f>
        <v>0.33514285714285719</v>
      </c>
      <c r="X60" s="52">
        <f>Mt.Wash!AD46</f>
        <v>0.33514285714285719</v>
      </c>
    </row>
    <row r="61" spans="3:42">
      <c r="C61" s="204"/>
      <c r="D61" s="96" t="s">
        <v>10</v>
      </c>
      <c r="E61" s="52">
        <f>Bloomberg!K46</f>
        <v>0</v>
      </c>
      <c r="F61" s="52">
        <f>Bloomberg!L46</f>
        <v>0</v>
      </c>
      <c r="G61" s="52">
        <f>Bloomberg!M46</f>
        <v>0</v>
      </c>
      <c r="H61" s="52">
        <f>Bloomberg!N46</f>
        <v>0</v>
      </c>
      <c r="I61" s="52">
        <f>Bloomberg!O46</f>
        <v>0</v>
      </c>
      <c r="J61" s="52">
        <f>Bloomberg!P46</f>
        <v>0</v>
      </c>
      <c r="K61" s="52">
        <f>Bloomberg!Q46</f>
        <v>0</v>
      </c>
      <c r="L61" s="52">
        <f>Bloomberg!R46</f>
        <v>0</v>
      </c>
      <c r="M61" s="52">
        <f>Bloomberg!S46</f>
        <v>0</v>
      </c>
      <c r="N61" s="52">
        <f>Bloomberg!T46</f>
        <v>0</v>
      </c>
      <c r="O61" s="52">
        <f>Bloomberg!U46</f>
        <v>0</v>
      </c>
      <c r="P61" s="52">
        <f>Bloomberg!V46</f>
        <v>0</v>
      </c>
      <c r="Q61" s="52">
        <f>Bloomberg!W46</f>
        <v>0</v>
      </c>
      <c r="R61" s="52">
        <f>Bloomberg!X46</f>
        <v>0</v>
      </c>
      <c r="S61" s="52">
        <f>Bloomberg!Y46</f>
        <v>0</v>
      </c>
      <c r="T61" s="52">
        <f>Bloomberg!Z46</f>
        <v>0</v>
      </c>
      <c r="U61" s="52">
        <f>Bloomberg!AA46</f>
        <v>0</v>
      </c>
      <c r="V61" s="52">
        <f>Bloomberg!AB46</f>
        <v>0</v>
      </c>
      <c r="W61" s="52">
        <f>Bloomberg!AC46</f>
        <v>0</v>
      </c>
      <c r="X61" s="52">
        <f>Bloomberg!AD46</f>
        <v>0</v>
      </c>
    </row>
    <row r="62" spans="3:42">
      <c r="C62" t="s">
        <v>13</v>
      </c>
      <c r="D62" s="131"/>
      <c r="E62" s="92"/>
      <c r="F62" s="92"/>
      <c r="G62" s="92"/>
      <c r="H62" s="92"/>
      <c r="I62" s="92"/>
      <c r="J62" s="92"/>
      <c r="K62" s="92"/>
      <c r="L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</row>
    <row r="63" spans="3:42">
      <c r="C63" s="130"/>
      <c r="D63" s="131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</row>
    <row r="64" spans="3:42">
      <c r="C64" s="130"/>
      <c r="D64" s="131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</row>
    <row r="65" spans="3:42" ht="14.45" customHeight="1">
      <c r="C65" s="199" t="s">
        <v>14</v>
      </c>
      <c r="D65" s="132" t="s">
        <v>2</v>
      </c>
      <c r="E65" s="133">
        <v>2024</v>
      </c>
      <c r="F65" s="133">
        <v>2024.25</v>
      </c>
      <c r="G65" s="133">
        <v>2024.5</v>
      </c>
      <c r="H65" s="133">
        <v>2024.75</v>
      </c>
      <c r="I65" s="133">
        <v>2025</v>
      </c>
      <c r="J65" s="133">
        <v>2025.25</v>
      </c>
      <c r="K65" s="133">
        <f t="shared" ref="K65" si="4">J65+0.25</f>
        <v>2025.5</v>
      </c>
      <c r="L65" s="133">
        <f t="shared" ref="L65" si="5">K65+0.25</f>
        <v>2025.75</v>
      </c>
      <c r="M65" s="133">
        <f t="shared" ref="M65" si="6">L65+0.25</f>
        <v>2026</v>
      </c>
      <c r="N65" s="133">
        <f t="shared" ref="N65" si="7">M65+0.25</f>
        <v>2026.25</v>
      </c>
      <c r="O65" s="133">
        <f t="shared" ref="O65" si="8">N65+0.25</f>
        <v>2026.5</v>
      </c>
      <c r="P65" s="133">
        <f t="shared" ref="P65" si="9">O65+0.25</f>
        <v>2026.75</v>
      </c>
      <c r="Q65" s="133">
        <f t="shared" ref="Q65" si="10">P65+0.25</f>
        <v>2027</v>
      </c>
      <c r="R65" s="133">
        <f t="shared" ref="R65" si="11">Q65+0.25</f>
        <v>2027.25</v>
      </c>
      <c r="S65" s="133">
        <f t="shared" ref="S65" si="12">R65+0.25</f>
        <v>2027.5</v>
      </c>
      <c r="T65" s="133">
        <f t="shared" ref="T65" si="13">S65+0.25</f>
        <v>2027.75</v>
      </c>
      <c r="U65" s="133">
        <f t="shared" ref="U65" si="14">T65+0.25</f>
        <v>2028</v>
      </c>
      <c r="V65" s="133">
        <f t="shared" ref="V65" si="15">U65+0.25</f>
        <v>2028.25</v>
      </c>
      <c r="W65" s="133">
        <f t="shared" ref="W65" si="16">V65+0.25</f>
        <v>2028.5</v>
      </c>
      <c r="X65" s="133">
        <f t="shared" ref="X65" si="17">W65+0.25</f>
        <v>2028.75</v>
      </c>
    </row>
    <row r="66" spans="3:42" s="18" customFormat="1">
      <c r="C66" s="199"/>
      <c r="D66" s="15" t="str">
        <f>D59</f>
        <v>BayView</v>
      </c>
      <c r="E66" s="15">
        <f>E59*'Power Blocks'!S12/4*('Power Blocks'!$S$7+1)</f>
        <v>239.7073885714286</v>
      </c>
      <c r="F66" s="15">
        <f>F59*'Power Blocks'!T12/4*('Power Blocks'!$S$7+1)</f>
        <v>239.7073885714286</v>
      </c>
      <c r="G66" s="15">
        <f>G59*'Power Blocks'!U12/4*('Power Blocks'!$S$7+1)</f>
        <v>239.7073885714286</v>
      </c>
      <c r="H66" s="15">
        <f>H59*'Power Blocks'!V12/4*('Power Blocks'!$S$7+1)</f>
        <v>325.87575428571438</v>
      </c>
      <c r="I66" s="15">
        <f>I59*'Power Blocks'!W12/4*('Power Blocks'!$S$7+1)</f>
        <v>325.87575428571438</v>
      </c>
      <c r="J66" s="15">
        <f>J59*'Power Blocks'!X12/4*('Power Blocks'!$S$7+1)</f>
        <v>325.87575428571438</v>
      </c>
      <c r="K66" s="15">
        <f>K59*'Power Blocks'!Y12/4*('Power Blocks'!$S$7+1)</f>
        <v>358.46332971428586</v>
      </c>
      <c r="L66" s="15">
        <f>L59*'Power Blocks'!Z12/4*('Power Blocks'!$S$7+1)</f>
        <v>397.61302114285735</v>
      </c>
      <c r="M66" s="15">
        <f>M59*'Power Blocks'!AA12/4*('Power Blocks'!$S$7+1)</f>
        <v>397.61302114285735</v>
      </c>
      <c r="N66" s="15">
        <f>N59*'Power Blocks'!AB12/4*('Power Blocks'!$S$7+1)</f>
        <v>397.61302114285735</v>
      </c>
      <c r="O66" s="15">
        <f>O59*'Power Blocks'!AC12/4*('Power Blocks'!$S$7+1)</f>
        <v>437.37432325714309</v>
      </c>
      <c r="P66" s="15">
        <f>P59*'Power Blocks'!AD12/4*('Power Blocks'!$S$7+1)</f>
        <v>437.37432325714309</v>
      </c>
      <c r="Q66" s="15">
        <f>Q59*'Power Blocks'!AE12/4*('Power Blocks'!$S$7+1)</f>
        <v>437.37432325714309</v>
      </c>
      <c r="R66" s="15">
        <f>R59*'Power Blocks'!AF12/4*('Power Blocks'!$S$7+1)</f>
        <v>195.02658308571438</v>
      </c>
      <c r="S66" s="15">
        <f>S59*'Power Blocks'!AG12/4*('Power Blocks'!$S$7+1)</f>
        <v>214.5292413942858</v>
      </c>
      <c r="T66" s="15">
        <f>T59*'Power Blocks'!AH12/4*('Power Blocks'!$S$7+1)</f>
        <v>214.5292413942858</v>
      </c>
      <c r="U66" s="15">
        <f>U59*'Power Blocks'!AI12/4*('Power Blocks'!$S$7+1)</f>
        <v>214.5292413942858</v>
      </c>
      <c r="V66" s="15">
        <f>V59*'Power Blocks'!AJ12/4*('Power Blocks'!$S$7+1)</f>
        <v>214.5292413942858</v>
      </c>
      <c r="W66" s="15">
        <f>W59*'Power Blocks'!AK12/4*('Power Blocks'!$S$7+1)</f>
        <v>111.31815001371433</v>
      </c>
      <c r="X66" s="15">
        <f>X59*'Power Blocks'!AL12/4*('Power Blocks'!$S$7+1)</f>
        <v>111.31815001371433</v>
      </c>
      <c r="AO66" s="101"/>
      <c r="AP66" s="101"/>
    </row>
    <row r="67" spans="3:42">
      <c r="C67" s="199"/>
      <c r="D67" s="15" t="str">
        <f>D60</f>
        <v>Mt. Wash</v>
      </c>
      <c r="E67" s="15">
        <f>E60*'Power Blocks'!S14/4*(1+'Power Blocks'!$S$7)</f>
        <v>19.444572000000019</v>
      </c>
      <c r="F67" s="15">
        <f>F60*'Power Blocks'!T14/4*(1+'Power Blocks'!$S$7)</f>
        <v>19.444572000000019</v>
      </c>
      <c r="G67" s="15">
        <f>G60*'Power Blocks'!U14/4*(1+'Power Blocks'!$S$7)</f>
        <v>59.650344000000032</v>
      </c>
      <c r="H67" s="15">
        <f>H60*'Power Blocks'!V14/4*(1+'Power Blocks'!$S$7)</f>
        <v>59.650344000000032</v>
      </c>
      <c r="I67" s="15">
        <f>I60*'Power Blocks'!W14/4*(1+'Power Blocks'!$S$7)</f>
        <v>59.650344000000032</v>
      </c>
      <c r="J67" s="15">
        <f>J60*'Power Blocks'!X14/4*(1+'Power Blocks'!$S$7)</f>
        <v>59.650344000000032</v>
      </c>
      <c r="K67" s="15">
        <f>K60*'Power Blocks'!Y14/4*(1+'Power Blocks'!$S$7)</f>
        <v>59.650344000000032</v>
      </c>
      <c r="L67" s="15">
        <f>L60*'Power Blocks'!Z14/4*(1+'Power Blocks'!$S$7)</f>
        <v>80.148744000000036</v>
      </c>
      <c r="M67" s="15">
        <f>M60*'Power Blocks'!AA14/4*(1+'Power Blocks'!$S$7)</f>
        <v>80.148744000000036</v>
      </c>
      <c r="N67" s="15">
        <f>N60*'Power Blocks'!AB14/4*(1+'Power Blocks'!$S$7)</f>
        <v>80.148744000000036</v>
      </c>
      <c r="O67" s="15">
        <f>O60*'Power Blocks'!AC14/4*(1+'Power Blocks'!$S$7)</f>
        <v>80.148744000000036</v>
      </c>
      <c r="P67" s="15">
        <f>P60*'Power Blocks'!AD14/4*(1+'Power Blocks'!$S$7)</f>
        <v>80.148744000000036</v>
      </c>
      <c r="Q67" s="15">
        <f>Q60*'Power Blocks'!AE14/4*(1+'Power Blocks'!$S$7)</f>
        <v>80.148744000000036</v>
      </c>
      <c r="R67" s="15">
        <f>R60*'Power Blocks'!AF14/4*(1+'Power Blocks'!$S$7)</f>
        <v>80.148744000000022</v>
      </c>
      <c r="S67" s="15">
        <f>S60*'Power Blocks'!AG14/4*(1+'Power Blocks'!$S$7)</f>
        <v>88.163618400000004</v>
      </c>
      <c r="T67" s="15">
        <f>T60*'Power Blocks'!AH14/4*(1+'Power Blocks'!$S$7)</f>
        <v>88.163618400000004</v>
      </c>
      <c r="U67" s="15">
        <f>U60*'Power Blocks'!AI14/4*(1+'Power Blocks'!$S$7)</f>
        <v>88.163618400000004</v>
      </c>
      <c r="V67" s="15">
        <f>V60*'Power Blocks'!AJ14/4*(1+'Power Blocks'!$S$7)</f>
        <v>88.163618400000004</v>
      </c>
      <c r="W67" s="15">
        <f>W60*'Power Blocks'!AK14/4*(1+'Power Blocks'!$S$7)</f>
        <v>96.979980240000017</v>
      </c>
      <c r="X67" s="15">
        <f>X60*'Power Blocks'!AL14/4*(1+'Power Blocks'!$S$7)</f>
        <v>96.979980240000017</v>
      </c>
    </row>
    <row r="68" spans="3:42">
      <c r="C68" s="199"/>
      <c r="D68" s="15" t="str">
        <f>D61</f>
        <v>Bloomberg</v>
      </c>
      <c r="E68" s="15">
        <f>E61*'Power Blocks'!S14/4*(1+'Power Blocks'!$S$7)</f>
        <v>0</v>
      </c>
      <c r="F68" s="15">
        <f>F61*'Power Blocks'!T14/4*(1+'Power Blocks'!$S$7)</f>
        <v>0</v>
      </c>
      <c r="G68" s="15">
        <f>G61*'Power Blocks'!U14/4*(1+'Power Blocks'!$S$7)</f>
        <v>0</v>
      </c>
      <c r="H68" s="15">
        <f>H61*'Power Blocks'!V14/4*(1+'Power Blocks'!$S$7)</f>
        <v>0</v>
      </c>
      <c r="I68" s="15">
        <f>I61*'Power Blocks'!W14/4*(1+'Power Blocks'!$S$7)</f>
        <v>0</v>
      </c>
      <c r="J68" s="15">
        <f>J61*'Power Blocks'!X14/4*(1+'Power Blocks'!$S$7)</f>
        <v>0</v>
      </c>
      <c r="K68" s="15">
        <f>K61*'Power Blocks'!Y14/4*(1+'Power Blocks'!$S$7)</f>
        <v>0</v>
      </c>
      <c r="L68" s="15">
        <f>L61*'Power Blocks'!Z14/4*(1+'Power Blocks'!$S$7)</f>
        <v>0</v>
      </c>
      <c r="M68" s="15">
        <f>M61*'Power Blocks'!AA14/4*(1+'Power Blocks'!$S$7)</f>
        <v>0</v>
      </c>
      <c r="N68" s="15">
        <f>N61*'Power Blocks'!AB14/4*(1+'Power Blocks'!$S$7)</f>
        <v>0</v>
      </c>
      <c r="O68" s="15">
        <f>O61*'Power Blocks'!AC14/4*(1+'Power Blocks'!$S$7)</f>
        <v>0</v>
      </c>
      <c r="P68" s="15">
        <f>P61*'Power Blocks'!AD14/4*(1+'Power Blocks'!$S$7)</f>
        <v>0</v>
      </c>
      <c r="Q68" s="15">
        <f>Q61*'Power Blocks'!AE14/4*(1+'Power Blocks'!$S$7)</f>
        <v>0</v>
      </c>
      <c r="R68" s="15">
        <f>R61*'Power Blocks'!AF14/4*(1+'Power Blocks'!$S$7)</f>
        <v>0</v>
      </c>
      <c r="S68" s="15">
        <f>S61*'Power Blocks'!AG14/4*(1+'Power Blocks'!$S$7)</f>
        <v>0</v>
      </c>
      <c r="T68" s="15">
        <f>T61*'Power Blocks'!AH14/4*(1+'Power Blocks'!$S$7)</f>
        <v>0</v>
      </c>
      <c r="U68" s="15">
        <f>U61*'Power Blocks'!AI14/4*(1+'Power Blocks'!$S$7)</f>
        <v>0</v>
      </c>
      <c r="V68" s="15">
        <f>V61*'Power Blocks'!AJ14/4*(1+'Power Blocks'!$S$7)</f>
        <v>0</v>
      </c>
      <c r="W68" s="15">
        <f>W61*'Power Blocks'!AK14/4*(1+'Power Blocks'!$S$7)</f>
        <v>0</v>
      </c>
      <c r="X68" s="15">
        <f>X61*'Power Blocks'!AL14/4*(1+'Power Blocks'!$S$7)</f>
        <v>0</v>
      </c>
    </row>
    <row r="69" spans="3:42">
      <c r="C69" s="199"/>
      <c r="D69" s="134" t="s">
        <v>15</v>
      </c>
      <c r="E69" s="135">
        <f t="shared" ref="E69:J69" si="18">SUM(E66:E68)</f>
        <v>259.15196057142862</v>
      </c>
      <c r="F69" s="135">
        <f t="shared" si="18"/>
        <v>259.15196057142862</v>
      </c>
      <c r="G69" s="135">
        <f t="shared" si="18"/>
        <v>299.35773257142864</v>
      </c>
      <c r="H69" s="135">
        <f t="shared" si="18"/>
        <v>385.5260982857144</v>
      </c>
      <c r="I69" s="135">
        <f t="shared" si="18"/>
        <v>385.5260982857144</v>
      </c>
      <c r="J69" s="135">
        <f t="shared" si="18"/>
        <v>385.5260982857144</v>
      </c>
      <c r="K69" s="135">
        <f>SUM(K66:K68)</f>
        <v>418.11367371428588</v>
      </c>
      <c r="L69" s="135">
        <f t="shared" ref="L69:X69" si="19">SUM(L66:L68)</f>
        <v>477.76176514285737</v>
      </c>
      <c r="M69" s="135">
        <f t="shared" si="19"/>
        <v>477.76176514285737</v>
      </c>
      <c r="N69" s="135">
        <f t="shared" si="19"/>
        <v>477.76176514285737</v>
      </c>
      <c r="O69" s="135">
        <f t="shared" si="19"/>
        <v>517.52306725714311</v>
      </c>
      <c r="P69" s="135">
        <f t="shared" si="19"/>
        <v>517.52306725714311</v>
      </c>
      <c r="Q69" s="135">
        <f t="shared" si="19"/>
        <v>517.52306725714311</v>
      </c>
      <c r="R69" s="135">
        <f t="shared" si="19"/>
        <v>275.1753270857144</v>
      </c>
      <c r="S69" s="135">
        <f t="shared" si="19"/>
        <v>302.69285979428582</v>
      </c>
      <c r="T69" s="135">
        <f t="shared" si="19"/>
        <v>302.69285979428582</v>
      </c>
      <c r="U69" s="135">
        <f t="shared" si="19"/>
        <v>302.69285979428582</v>
      </c>
      <c r="V69" s="135">
        <f t="shared" si="19"/>
        <v>302.69285979428582</v>
      </c>
      <c r="W69" s="135">
        <f t="shared" si="19"/>
        <v>208.29813025371436</v>
      </c>
      <c r="X69" s="135">
        <f t="shared" si="19"/>
        <v>208.29813025371436</v>
      </c>
    </row>
    <row r="70" spans="3:42">
      <c r="C70" s="199"/>
      <c r="D70" s="96" t="s">
        <v>2</v>
      </c>
      <c r="E70" s="52"/>
      <c r="F70" s="52"/>
      <c r="G70" s="201" t="s">
        <v>16</v>
      </c>
      <c r="H70" s="201"/>
      <c r="I70" s="201"/>
      <c r="J70" s="201"/>
      <c r="K70" s="201" t="s">
        <v>17</v>
      </c>
      <c r="L70" s="201"/>
      <c r="M70" s="201"/>
      <c r="N70" s="201"/>
      <c r="O70" s="201" t="s">
        <v>18</v>
      </c>
      <c r="P70" s="201"/>
      <c r="Q70" s="201"/>
      <c r="R70" s="201"/>
      <c r="S70" s="201" t="s">
        <v>19</v>
      </c>
      <c r="T70" s="201"/>
      <c r="U70" s="201"/>
      <c r="V70" s="201"/>
      <c r="W70" s="52"/>
      <c r="X70" s="52"/>
    </row>
    <row r="71" spans="3:42">
      <c r="C71" s="199"/>
      <c r="D71" s="96" t="s">
        <v>20</v>
      </c>
      <c r="E71" s="52"/>
      <c r="F71" s="52"/>
      <c r="G71" s="201">
        <f>SUM(G69:J69)</f>
        <v>1455.9360274285718</v>
      </c>
      <c r="H71" s="201"/>
      <c r="I71" s="201"/>
      <c r="J71" s="201"/>
      <c r="K71" s="201">
        <f>SUM(K69:N69)</f>
        <v>1851.3989691428578</v>
      </c>
      <c r="L71" s="201"/>
      <c r="M71" s="201"/>
      <c r="N71" s="201"/>
      <c r="O71" s="201">
        <f>SUM(O69:R69)</f>
        <v>1827.7445288571437</v>
      </c>
      <c r="P71" s="201"/>
      <c r="Q71" s="201"/>
      <c r="R71" s="201"/>
      <c r="S71" s="201">
        <f>SUM(S69:V69)</f>
        <v>1210.7714391771433</v>
      </c>
      <c r="T71" s="201"/>
      <c r="U71" s="201"/>
      <c r="V71" s="201"/>
      <c r="W71" s="52"/>
      <c r="X71" s="52"/>
    </row>
    <row r="72" spans="3:42">
      <c r="C72" s="131" t="s">
        <v>21</v>
      </c>
      <c r="E72" s="92"/>
      <c r="F72" s="92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2"/>
      <c r="X72" s="92"/>
    </row>
    <row r="73" spans="3:42">
      <c r="C73" s="131" t="s">
        <v>22</v>
      </c>
      <c r="E73" s="92"/>
      <c r="F73" s="92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2"/>
      <c r="X73" s="92"/>
    </row>
    <row r="75" spans="3:42" ht="15.95">
      <c r="C75" s="199" t="s">
        <v>23</v>
      </c>
      <c r="D75" s="143" t="s">
        <v>2</v>
      </c>
      <c r="E75" s="144">
        <v>2024</v>
      </c>
      <c r="F75" s="144">
        <v>2024.25</v>
      </c>
      <c r="G75" s="144">
        <v>2024.5</v>
      </c>
      <c r="H75" s="144">
        <v>2024.75</v>
      </c>
      <c r="I75" s="144">
        <v>2025</v>
      </c>
      <c r="J75" s="144">
        <v>2025.25</v>
      </c>
      <c r="K75" s="144">
        <f t="shared" ref="K75" si="20">J75+0.25</f>
        <v>2025.5</v>
      </c>
      <c r="L75" s="144">
        <f t="shared" ref="L75" si="21">K75+0.25</f>
        <v>2025.75</v>
      </c>
      <c r="M75" s="144">
        <f t="shared" ref="M75" si="22">L75+0.25</f>
        <v>2026</v>
      </c>
      <c r="N75" s="144">
        <f t="shared" ref="N75" si="23">M75+0.25</f>
        <v>2026.25</v>
      </c>
      <c r="O75" s="144">
        <f t="shared" ref="O75" si="24">N75+0.25</f>
        <v>2026.5</v>
      </c>
      <c r="P75" s="144">
        <f t="shared" ref="P75" si="25">O75+0.25</f>
        <v>2026.75</v>
      </c>
      <c r="Q75" s="144">
        <f t="shared" ref="Q75" si="26">P75+0.25</f>
        <v>2027</v>
      </c>
      <c r="R75" s="144">
        <f t="shared" ref="R75" si="27">Q75+0.25</f>
        <v>2027.25</v>
      </c>
      <c r="S75" s="144">
        <f t="shared" ref="S75" si="28">R75+0.25</f>
        <v>2027.5</v>
      </c>
      <c r="T75" s="144">
        <f t="shared" ref="T75" si="29">S75+0.25</f>
        <v>2027.75</v>
      </c>
      <c r="U75" s="144">
        <f t="shared" ref="U75" si="30">T75+0.25</f>
        <v>2028</v>
      </c>
      <c r="V75" s="144">
        <f t="shared" ref="V75" si="31">U75+0.25</f>
        <v>2028.25</v>
      </c>
      <c r="W75" s="144">
        <f t="shared" ref="W75" si="32">V75+0.25</f>
        <v>2028.5</v>
      </c>
      <c r="X75" s="144">
        <f t="shared" ref="X75" si="33">W75+0.25</f>
        <v>2028.75</v>
      </c>
    </row>
    <row r="76" spans="3:42">
      <c r="C76" s="199"/>
      <c r="D76" s="182" t="s">
        <v>7</v>
      </c>
      <c r="E76" s="145">
        <f>SUM(E77:E79)</f>
        <v>0</v>
      </c>
      <c r="F76" s="145">
        <f t="shared" ref="F76:X76" si="34">SUM(F77:F79)</f>
        <v>2569.136</v>
      </c>
      <c r="G76" s="145">
        <f t="shared" si="34"/>
        <v>5074.826</v>
      </c>
      <c r="H76" s="145">
        <f t="shared" si="34"/>
        <v>0</v>
      </c>
      <c r="I76" s="145">
        <f t="shared" si="34"/>
        <v>0</v>
      </c>
      <c r="J76" s="145">
        <f t="shared" si="34"/>
        <v>1821.42</v>
      </c>
      <c r="K76" s="145">
        <f t="shared" si="34"/>
        <v>9595.6560000000009</v>
      </c>
      <c r="L76" s="145">
        <f t="shared" si="34"/>
        <v>0</v>
      </c>
      <c r="M76" s="145">
        <f t="shared" si="34"/>
        <v>0</v>
      </c>
      <c r="N76" s="145">
        <f t="shared" si="34"/>
        <v>0</v>
      </c>
      <c r="O76" s="145">
        <f t="shared" si="34"/>
        <v>0</v>
      </c>
      <c r="P76" s="145">
        <f t="shared" si="34"/>
        <v>0</v>
      </c>
      <c r="Q76" s="145">
        <f t="shared" si="34"/>
        <v>0</v>
      </c>
      <c r="R76" s="145">
        <f t="shared" si="34"/>
        <v>0</v>
      </c>
      <c r="S76" s="145">
        <f t="shared" si="34"/>
        <v>0</v>
      </c>
      <c r="T76" s="145">
        <f t="shared" si="34"/>
        <v>0</v>
      </c>
      <c r="U76" s="145">
        <f t="shared" si="34"/>
        <v>0</v>
      </c>
      <c r="V76" s="145">
        <f t="shared" si="34"/>
        <v>0</v>
      </c>
      <c r="W76" s="145">
        <f t="shared" si="34"/>
        <v>0</v>
      </c>
      <c r="X76" s="145">
        <f t="shared" si="34"/>
        <v>0</v>
      </c>
    </row>
    <row r="77" spans="3:42">
      <c r="C77" s="199"/>
      <c r="D77" s="95" t="s">
        <v>8</v>
      </c>
      <c r="E77" s="10">
        <f>BayView!K$103</f>
        <v>0</v>
      </c>
      <c r="F77" s="10">
        <f>BayView!L$103</f>
        <v>0</v>
      </c>
      <c r="G77" s="10">
        <f>BayView!M$103</f>
        <v>5074.826</v>
      </c>
      <c r="H77" s="10">
        <f>BayView!N$103</f>
        <v>0</v>
      </c>
      <c r="I77" s="10">
        <f>BayView!O$103</f>
        <v>0</v>
      </c>
      <c r="J77" s="10">
        <f>BayView!P$103</f>
        <v>0</v>
      </c>
      <c r="K77" s="10">
        <f>BayView!Q$103</f>
        <v>6167.1360000000004</v>
      </c>
      <c r="L77" s="10">
        <f>BayView!R$103</f>
        <v>0</v>
      </c>
      <c r="M77" s="10">
        <f>BayView!S$103</f>
        <v>0</v>
      </c>
      <c r="N77" s="10">
        <f>BayView!T$103</f>
        <v>0</v>
      </c>
      <c r="O77" s="10">
        <f>BayView!U$103</f>
        <v>0</v>
      </c>
      <c r="P77" s="10">
        <f>BayView!V$103</f>
        <v>0</v>
      </c>
      <c r="Q77" s="10">
        <f>BayView!W$103</f>
        <v>0</v>
      </c>
      <c r="R77" s="10">
        <f>BayView!X$103</f>
        <v>0</v>
      </c>
      <c r="S77" s="10">
        <f>BayView!Y$103</f>
        <v>0</v>
      </c>
      <c r="T77" s="10">
        <f>BayView!Z$103</f>
        <v>0</v>
      </c>
      <c r="U77" s="10">
        <f>BayView!AA$103</f>
        <v>0</v>
      </c>
      <c r="V77" s="10">
        <f>BayView!AB$103</f>
        <v>0</v>
      </c>
      <c r="W77" s="10">
        <f>BayView!AC$103</f>
        <v>0</v>
      </c>
      <c r="X77" s="10">
        <f>BayView!AD$103</f>
        <v>0</v>
      </c>
    </row>
    <row r="78" spans="3:42">
      <c r="C78" s="199"/>
      <c r="D78" s="96" t="s">
        <v>9</v>
      </c>
      <c r="E78" s="10">
        <f>Mt.Wash!K$102</f>
        <v>0</v>
      </c>
      <c r="F78" s="10">
        <f>Mt.Wash!L$102</f>
        <v>2569.136</v>
      </c>
      <c r="G78" s="10">
        <f>Mt.Wash!M$102</f>
        <v>0</v>
      </c>
      <c r="H78" s="10">
        <f>Mt.Wash!N$102</f>
        <v>0</v>
      </c>
      <c r="I78" s="10">
        <f>Mt.Wash!O$102</f>
        <v>0</v>
      </c>
      <c r="J78" s="10">
        <f>Mt.Wash!P$102</f>
        <v>0</v>
      </c>
      <c r="K78" s="10">
        <f>Mt.Wash!Q$102</f>
        <v>3428.52</v>
      </c>
      <c r="L78" s="10">
        <f>Mt.Wash!R$102</f>
        <v>0</v>
      </c>
      <c r="M78" s="10">
        <f>Mt.Wash!S$102</f>
        <v>0</v>
      </c>
      <c r="N78" s="10">
        <f>Mt.Wash!T$102</f>
        <v>0</v>
      </c>
      <c r="O78" s="10">
        <f>Mt.Wash!U$102</f>
        <v>0</v>
      </c>
      <c r="P78" s="10">
        <f>Mt.Wash!V$102</f>
        <v>0</v>
      </c>
      <c r="Q78" s="10">
        <f>Mt.Wash!W$102</f>
        <v>0</v>
      </c>
      <c r="R78" s="10">
        <f>Mt.Wash!X$102</f>
        <v>0</v>
      </c>
      <c r="S78" s="10">
        <f>Mt.Wash!Y$102</f>
        <v>0</v>
      </c>
      <c r="T78" s="10">
        <f>Mt.Wash!Z$102</f>
        <v>0</v>
      </c>
      <c r="U78" s="10">
        <f>Mt.Wash!AA$102</f>
        <v>0</v>
      </c>
      <c r="V78" s="10">
        <f>Mt.Wash!AB$102</f>
        <v>0</v>
      </c>
      <c r="W78" s="10">
        <f>Mt.Wash!AC$102</f>
        <v>0</v>
      </c>
      <c r="X78" s="10">
        <f>Mt.Wash!AD$102</f>
        <v>0</v>
      </c>
    </row>
    <row r="79" spans="3:42">
      <c r="C79" s="199"/>
      <c r="D79" s="96" t="s">
        <v>10</v>
      </c>
      <c r="E79" s="10">
        <f>Bloomberg!K$102</f>
        <v>0</v>
      </c>
      <c r="F79" s="10">
        <f>Bloomberg!L$102</f>
        <v>0</v>
      </c>
      <c r="G79" s="10">
        <f>Bloomberg!M$102</f>
        <v>0</v>
      </c>
      <c r="H79" s="10">
        <f>Bloomberg!N$102</f>
        <v>0</v>
      </c>
      <c r="I79" s="10">
        <f>Bloomberg!O$102</f>
        <v>0</v>
      </c>
      <c r="J79" s="10">
        <f>Bloomberg!P$102</f>
        <v>1821.42</v>
      </c>
      <c r="K79" s="10">
        <f>Bloomberg!Q$102</f>
        <v>0</v>
      </c>
      <c r="L79" s="10">
        <f>Bloomberg!R$102</f>
        <v>0</v>
      </c>
      <c r="M79" s="10">
        <f>Bloomberg!S$102</f>
        <v>0</v>
      </c>
      <c r="N79" s="10">
        <f>Bloomberg!T$102</f>
        <v>0</v>
      </c>
      <c r="O79" s="10">
        <f>Bloomberg!U$102</f>
        <v>0</v>
      </c>
      <c r="P79" s="10">
        <f>Bloomberg!V$102</f>
        <v>0</v>
      </c>
      <c r="Q79" s="10">
        <f>Bloomberg!W$102</f>
        <v>0</v>
      </c>
      <c r="R79" s="10">
        <f>Bloomberg!X$102</f>
        <v>0</v>
      </c>
      <c r="S79" s="10">
        <f>Bloomberg!Y$102</f>
        <v>0</v>
      </c>
      <c r="T79" s="10">
        <f>Bloomberg!Z$102</f>
        <v>0</v>
      </c>
      <c r="U79" s="10">
        <f>Bloomberg!AA$102</f>
        <v>0</v>
      </c>
      <c r="V79" s="10">
        <f>Bloomberg!AB$102</f>
        <v>0</v>
      </c>
      <c r="W79" s="10">
        <f>Bloomberg!AC$102</f>
        <v>0</v>
      </c>
      <c r="X79" s="10">
        <f>Bloomberg!AD$102</f>
        <v>0</v>
      </c>
    </row>
    <row r="80" spans="3:42">
      <c r="C80" s="158" t="s">
        <v>24</v>
      </c>
    </row>
    <row r="81" spans="3:24">
      <c r="C81" s="64"/>
      <c r="D81" s="64"/>
    </row>
    <row r="82" spans="3:24">
      <c r="D82" s="159"/>
    </row>
    <row r="83" spans="3:24">
      <c r="C83" s="159"/>
      <c r="D83" s="160" t="s">
        <v>2</v>
      </c>
      <c r="E83" s="138">
        <v>2024</v>
      </c>
      <c r="F83" s="129">
        <v>2024.25</v>
      </c>
      <c r="G83" s="129">
        <v>2024.5</v>
      </c>
      <c r="H83" s="129">
        <v>2024.75</v>
      </c>
      <c r="I83" s="129">
        <v>2025</v>
      </c>
      <c r="J83" s="129">
        <v>2025.25</v>
      </c>
      <c r="K83" s="129">
        <f t="shared" ref="K83" si="35">J83+0.25</f>
        <v>2025.5</v>
      </c>
      <c r="L83" s="129">
        <f t="shared" ref="L83" si="36">K83+0.25</f>
        <v>2025.75</v>
      </c>
      <c r="M83" s="129">
        <f t="shared" ref="M83" si="37">L83+0.25</f>
        <v>2026</v>
      </c>
      <c r="N83" s="129">
        <f t="shared" ref="N83" si="38">M83+0.25</f>
        <v>2026.25</v>
      </c>
      <c r="O83" s="129">
        <f t="shared" ref="O83" si="39">N83+0.25</f>
        <v>2026.5</v>
      </c>
      <c r="P83" s="129">
        <f t="shared" ref="P83" si="40">O83+0.25</f>
        <v>2026.75</v>
      </c>
      <c r="Q83" s="129">
        <f t="shared" ref="Q83" si="41">P83+0.25</f>
        <v>2027</v>
      </c>
      <c r="R83" s="129">
        <f t="shared" ref="R83" si="42">Q83+0.25</f>
        <v>2027.25</v>
      </c>
      <c r="S83" s="129">
        <f t="shared" ref="S83" si="43">R83+0.25</f>
        <v>2027.5</v>
      </c>
      <c r="T83" s="129">
        <f t="shared" ref="T83" si="44">S83+0.25</f>
        <v>2027.75</v>
      </c>
      <c r="U83" s="129">
        <f t="shared" ref="U83" si="45">T83+0.25</f>
        <v>2028</v>
      </c>
      <c r="V83" s="129">
        <f t="shared" ref="V83" si="46">U83+0.25</f>
        <v>2028.25</v>
      </c>
      <c r="W83" s="129">
        <f t="shared" ref="W83" si="47">V83+0.25</f>
        <v>2028.5</v>
      </c>
      <c r="X83" s="129">
        <f t="shared" ref="X83" si="48">W83+0.25</f>
        <v>2028.75</v>
      </c>
    </row>
    <row r="84" spans="3:24">
      <c r="C84" s="200" t="s">
        <v>25</v>
      </c>
      <c r="D84" s="169" t="s">
        <v>26</v>
      </c>
      <c r="E84" s="4">
        <f>E90+E95+E100</f>
        <v>180</v>
      </c>
      <c r="F84" s="4">
        <f t="shared" ref="F84:X84" si="49">F90+F95+F100</f>
        <v>180</v>
      </c>
      <c r="G84" s="4">
        <f t="shared" si="49"/>
        <v>244</v>
      </c>
      <c r="H84" s="4">
        <f t="shared" si="49"/>
        <v>436</v>
      </c>
      <c r="I84" s="4">
        <f t="shared" si="49"/>
        <v>436</v>
      </c>
      <c r="J84" s="4">
        <f t="shared" si="49"/>
        <v>436</v>
      </c>
      <c r="K84" s="4">
        <f t="shared" si="49"/>
        <v>452</v>
      </c>
      <c r="L84" s="4">
        <f t="shared" si="49"/>
        <v>612</v>
      </c>
      <c r="M84" s="4">
        <f t="shared" si="49"/>
        <v>612</v>
      </c>
      <c r="N84" s="4">
        <f t="shared" si="49"/>
        <v>612</v>
      </c>
      <c r="O84" s="4">
        <f t="shared" si="49"/>
        <v>612</v>
      </c>
      <c r="P84" s="4">
        <f t="shared" si="49"/>
        <v>612</v>
      </c>
      <c r="Q84" s="4">
        <f t="shared" si="49"/>
        <v>612</v>
      </c>
      <c r="R84" s="4">
        <f t="shared" si="49"/>
        <v>456</v>
      </c>
      <c r="S84" s="4">
        <f t="shared" si="49"/>
        <v>456</v>
      </c>
      <c r="T84" s="4">
        <f t="shared" si="49"/>
        <v>456</v>
      </c>
      <c r="U84" s="4">
        <f t="shared" si="49"/>
        <v>456</v>
      </c>
      <c r="V84" s="4">
        <f t="shared" si="49"/>
        <v>456</v>
      </c>
      <c r="W84" s="4">
        <f t="shared" si="49"/>
        <v>264</v>
      </c>
      <c r="X84" s="4">
        <f t="shared" si="49"/>
        <v>264</v>
      </c>
    </row>
    <row r="85" spans="3:24">
      <c r="C85" s="200"/>
      <c r="D85" s="169" t="s">
        <v>27</v>
      </c>
      <c r="E85" s="4">
        <f t="shared" ref="E85:X85" si="50">E91+E96+E101</f>
        <v>72064</v>
      </c>
      <c r="F85" s="4">
        <f t="shared" si="50"/>
        <v>72064</v>
      </c>
      <c r="G85" s="4">
        <f t="shared" si="50"/>
        <v>77184</v>
      </c>
      <c r="H85" s="4">
        <f t="shared" si="50"/>
        <v>87424</v>
      </c>
      <c r="I85" s="4">
        <f t="shared" si="50"/>
        <v>87424</v>
      </c>
      <c r="J85" s="4">
        <f t="shared" si="50"/>
        <v>87424</v>
      </c>
      <c r="K85" s="4">
        <f t="shared" si="50"/>
        <v>89984</v>
      </c>
      <c r="L85" s="4">
        <f t="shared" si="50"/>
        <v>89984</v>
      </c>
      <c r="M85" s="4">
        <f t="shared" si="50"/>
        <v>89984</v>
      </c>
      <c r="N85" s="4">
        <f t="shared" si="50"/>
        <v>89984</v>
      </c>
      <c r="O85" s="4">
        <f t="shared" si="50"/>
        <v>89984</v>
      </c>
      <c r="P85" s="4">
        <f t="shared" si="50"/>
        <v>89984</v>
      </c>
      <c r="Q85" s="4">
        <f t="shared" si="50"/>
        <v>89984</v>
      </c>
      <c r="R85" s="4">
        <f t="shared" si="50"/>
        <v>41984</v>
      </c>
      <c r="S85" s="4">
        <f t="shared" si="50"/>
        <v>41984</v>
      </c>
      <c r="T85" s="4">
        <f t="shared" si="50"/>
        <v>41984</v>
      </c>
      <c r="U85" s="4">
        <f t="shared" si="50"/>
        <v>41984</v>
      </c>
      <c r="V85" s="4">
        <f t="shared" si="50"/>
        <v>41984</v>
      </c>
      <c r="W85" s="4">
        <f t="shared" si="50"/>
        <v>31744</v>
      </c>
      <c r="X85" s="4">
        <f t="shared" si="50"/>
        <v>31744</v>
      </c>
    </row>
    <row r="86" spans="3:24">
      <c r="C86" s="200"/>
      <c r="D86" s="169" t="s">
        <v>28</v>
      </c>
      <c r="E86" s="4">
        <f>E87+E88</f>
        <v>111.53999999999999</v>
      </c>
      <c r="F86" s="4">
        <f t="shared" ref="F86:X86" si="51">F87+F88</f>
        <v>111.53999999999999</v>
      </c>
      <c r="G86" s="4">
        <f t="shared" si="51"/>
        <v>120.02</v>
      </c>
      <c r="H86" s="4">
        <f t="shared" si="51"/>
        <v>124.55000000000001</v>
      </c>
      <c r="I86" s="4">
        <f t="shared" si="51"/>
        <v>124.55000000000001</v>
      </c>
      <c r="J86" s="4">
        <f t="shared" si="51"/>
        <v>124.55000000000001</v>
      </c>
      <c r="K86" s="4">
        <f t="shared" si="51"/>
        <v>139.94999999999999</v>
      </c>
      <c r="L86" s="4">
        <f t="shared" si="51"/>
        <v>213.53</v>
      </c>
      <c r="M86" s="4">
        <f t="shared" si="51"/>
        <v>213.53</v>
      </c>
      <c r="N86" s="4">
        <f t="shared" si="51"/>
        <v>213.53</v>
      </c>
      <c r="O86" s="4">
        <f t="shared" si="51"/>
        <v>213.53</v>
      </c>
      <c r="P86" s="4">
        <f t="shared" si="51"/>
        <v>213.53</v>
      </c>
      <c r="Q86" s="4">
        <f t="shared" si="51"/>
        <v>213.53</v>
      </c>
      <c r="R86" s="4">
        <f t="shared" si="51"/>
        <v>196.43</v>
      </c>
      <c r="S86" s="4">
        <f t="shared" si="51"/>
        <v>196.43</v>
      </c>
      <c r="T86" s="4">
        <f t="shared" si="51"/>
        <v>196.43</v>
      </c>
      <c r="U86" s="4">
        <f t="shared" si="51"/>
        <v>196.43</v>
      </c>
      <c r="V86" s="4">
        <f t="shared" si="51"/>
        <v>196.43</v>
      </c>
      <c r="W86" s="4">
        <f t="shared" si="51"/>
        <v>194.93</v>
      </c>
      <c r="X86" s="4">
        <f t="shared" si="51"/>
        <v>194.93</v>
      </c>
    </row>
    <row r="87" spans="3:24">
      <c r="C87" s="200"/>
      <c r="D87" s="169" t="s">
        <v>29</v>
      </c>
      <c r="E87" s="4">
        <f t="shared" ref="E87:X87" si="52">E92+E97+E102</f>
        <v>104.94</v>
      </c>
      <c r="F87" s="4">
        <f t="shared" si="52"/>
        <v>104.94</v>
      </c>
      <c r="G87" s="4">
        <f t="shared" si="52"/>
        <v>113.42</v>
      </c>
      <c r="H87" s="4">
        <f t="shared" si="52"/>
        <v>116.60000000000001</v>
      </c>
      <c r="I87" s="4">
        <f t="shared" si="52"/>
        <v>116.60000000000001</v>
      </c>
      <c r="J87" s="4">
        <f t="shared" si="52"/>
        <v>116.60000000000001</v>
      </c>
      <c r="K87" s="4">
        <f t="shared" si="52"/>
        <v>127.2</v>
      </c>
      <c r="L87" s="4">
        <f t="shared" si="52"/>
        <v>199.28</v>
      </c>
      <c r="M87" s="4">
        <f t="shared" si="52"/>
        <v>199.28</v>
      </c>
      <c r="N87" s="4">
        <f t="shared" si="52"/>
        <v>199.28</v>
      </c>
      <c r="O87" s="4">
        <f t="shared" si="52"/>
        <v>199.28</v>
      </c>
      <c r="P87" s="4">
        <f t="shared" si="52"/>
        <v>199.28</v>
      </c>
      <c r="Q87" s="4">
        <f t="shared" si="52"/>
        <v>199.28</v>
      </c>
      <c r="R87" s="4">
        <f t="shared" si="52"/>
        <v>183.38</v>
      </c>
      <c r="S87" s="4">
        <f t="shared" si="52"/>
        <v>183.38</v>
      </c>
      <c r="T87" s="4">
        <f t="shared" si="52"/>
        <v>183.38</v>
      </c>
      <c r="U87" s="4">
        <f t="shared" si="52"/>
        <v>183.38</v>
      </c>
      <c r="V87" s="4">
        <f t="shared" si="52"/>
        <v>183.38</v>
      </c>
      <c r="W87" s="4">
        <f t="shared" si="52"/>
        <v>183.38</v>
      </c>
      <c r="X87" s="4">
        <f t="shared" si="52"/>
        <v>183.38</v>
      </c>
    </row>
    <row r="88" spans="3:24">
      <c r="C88" s="200"/>
      <c r="D88" s="169" t="s">
        <v>30</v>
      </c>
      <c r="E88" s="4">
        <f t="shared" ref="E88:X88" si="53">E93+E98+E103</f>
        <v>6.6</v>
      </c>
      <c r="F88" s="4">
        <f t="shared" si="53"/>
        <v>6.6</v>
      </c>
      <c r="G88" s="4">
        <f t="shared" si="53"/>
        <v>6.6</v>
      </c>
      <c r="H88" s="4">
        <f t="shared" si="53"/>
        <v>7.9499999999999993</v>
      </c>
      <c r="I88" s="4">
        <f t="shared" si="53"/>
        <v>7.9499999999999993</v>
      </c>
      <c r="J88" s="4">
        <f t="shared" si="53"/>
        <v>7.9499999999999993</v>
      </c>
      <c r="K88" s="4">
        <f t="shared" si="53"/>
        <v>12.75</v>
      </c>
      <c r="L88" s="4">
        <f t="shared" si="53"/>
        <v>14.25</v>
      </c>
      <c r="M88" s="4">
        <f t="shared" si="53"/>
        <v>14.25</v>
      </c>
      <c r="N88" s="4">
        <f t="shared" si="53"/>
        <v>14.25</v>
      </c>
      <c r="O88" s="4">
        <f t="shared" si="53"/>
        <v>14.25</v>
      </c>
      <c r="P88" s="4">
        <f t="shared" si="53"/>
        <v>14.25</v>
      </c>
      <c r="Q88" s="4">
        <f t="shared" si="53"/>
        <v>14.25</v>
      </c>
      <c r="R88" s="4">
        <f t="shared" si="53"/>
        <v>13.049999999999999</v>
      </c>
      <c r="S88" s="4">
        <f t="shared" si="53"/>
        <v>13.049999999999999</v>
      </c>
      <c r="T88" s="4">
        <f t="shared" si="53"/>
        <v>13.049999999999999</v>
      </c>
      <c r="U88" s="4">
        <f t="shared" si="53"/>
        <v>13.049999999999999</v>
      </c>
      <c r="V88" s="4">
        <f t="shared" si="53"/>
        <v>13.049999999999999</v>
      </c>
      <c r="W88" s="4">
        <f t="shared" si="53"/>
        <v>11.549999999999999</v>
      </c>
      <c r="X88" s="4">
        <f t="shared" si="53"/>
        <v>11.549999999999999</v>
      </c>
    </row>
    <row r="89" spans="3:24" ht="15" customHeight="1">
      <c r="C89" s="136"/>
      <c r="D89" s="170"/>
      <c r="E89" s="137">
        <v>2024</v>
      </c>
      <c r="F89" s="137">
        <v>2024.25</v>
      </c>
      <c r="G89" s="137">
        <v>2024.5</v>
      </c>
      <c r="H89" s="137">
        <v>2024.75</v>
      </c>
      <c r="I89" s="137">
        <v>2025</v>
      </c>
      <c r="J89" s="137">
        <v>2025.25</v>
      </c>
      <c r="K89" s="137">
        <f t="shared" ref="K89" si="54">J89+0.25</f>
        <v>2025.5</v>
      </c>
      <c r="L89" s="137">
        <f t="shared" ref="L89" si="55">K89+0.25</f>
        <v>2025.75</v>
      </c>
      <c r="M89" s="137">
        <f t="shared" ref="M89" si="56">L89+0.25</f>
        <v>2026</v>
      </c>
      <c r="N89" s="137">
        <f t="shared" ref="N89" si="57">M89+0.25</f>
        <v>2026.25</v>
      </c>
      <c r="O89" s="137">
        <f t="shared" ref="O89" si="58">N89+0.25</f>
        <v>2026.5</v>
      </c>
      <c r="P89" s="137">
        <f t="shared" ref="P89" si="59">O89+0.25</f>
        <v>2026.75</v>
      </c>
      <c r="Q89" s="137">
        <f t="shared" ref="Q89" si="60">P89+0.25</f>
        <v>2027</v>
      </c>
      <c r="R89" s="137">
        <f t="shared" ref="R89" si="61">Q89+0.25</f>
        <v>2027.25</v>
      </c>
      <c r="S89" s="137">
        <f t="shared" ref="S89" si="62">R89+0.25</f>
        <v>2027.5</v>
      </c>
      <c r="T89" s="137">
        <f t="shared" ref="T89" si="63">S89+0.25</f>
        <v>2027.75</v>
      </c>
      <c r="U89" s="137">
        <f t="shared" ref="U89" si="64">T89+0.25</f>
        <v>2028</v>
      </c>
      <c r="V89" s="137">
        <f t="shared" ref="V89" si="65">U89+0.25</f>
        <v>2028.25</v>
      </c>
      <c r="W89" s="137">
        <f t="shared" ref="W89" si="66">V89+0.25</f>
        <v>2028.5</v>
      </c>
      <c r="X89" s="137">
        <f t="shared" ref="X89" si="67">W89+0.25</f>
        <v>2028.75</v>
      </c>
    </row>
    <row r="90" spans="3:24">
      <c r="C90" s="211" t="s">
        <v>31</v>
      </c>
      <c r="D90" s="171" t="s">
        <v>26</v>
      </c>
      <c r="E90" s="3">
        <f>BayView!K153</f>
        <v>156</v>
      </c>
      <c r="F90" s="3">
        <f>BayView!L153</f>
        <v>156</v>
      </c>
      <c r="G90" s="3">
        <f>BayView!M153</f>
        <v>156</v>
      </c>
      <c r="H90" s="3">
        <f>BayView!N153</f>
        <v>348</v>
      </c>
      <c r="I90" s="3">
        <f>BayView!O153</f>
        <v>348</v>
      </c>
      <c r="J90" s="3">
        <f>BayView!P153</f>
        <v>348</v>
      </c>
      <c r="K90" s="3">
        <f>BayView!Q153</f>
        <v>348</v>
      </c>
      <c r="L90" s="3">
        <f>BayView!R153</f>
        <v>508</v>
      </c>
      <c r="M90" s="3">
        <f>BayView!S153</f>
        <v>508</v>
      </c>
      <c r="N90" s="3">
        <f>BayView!T153</f>
        <v>508</v>
      </c>
      <c r="O90" s="3">
        <f>BayView!U153</f>
        <v>508</v>
      </c>
      <c r="P90" s="3">
        <f>BayView!V153</f>
        <v>508</v>
      </c>
      <c r="Q90" s="3">
        <f>BayView!W153</f>
        <v>508</v>
      </c>
      <c r="R90" s="3">
        <f>BayView!X153</f>
        <v>352</v>
      </c>
      <c r="S90" s="3">
        <f>BayView!Y153</f>
        <v>352</v>
      </c>
      <c r="T90" s="3">
        <f>BayView!Z153</f>
        <v>352</v>
      </c>
      <c r="U90" s="3">
        <f>BayView!AA153</f>
        <v>352</v>
      </c>
      <c r="V90" s="3">
        <f>BayView!AB153</f>
        <v>352</v>
      </c>
      <c r="W90" s="3">
        <f>BayView!AC153</f>
        <v>160</v>
      </c>
      <c r="X90" s="3">
        <f>BayView!AD153</f>
        <v>160</v>
      </c>
    </row>
    <row r="91" spans="3:24">
      <c r="C91" s="211"/>
      <c r="D91" s="171" t="s">
        <v>27</v>
      </c>
      <c r="E91" s="3">
        <f>BayView!K154</f>
        <v>48000</v>
      </c>
      <c r="F91" s="3">
        <f>BayView!L154</f>
        <v>48000</v>
      </c>
      <c r="G91" s="3">
        <f>BayView!M154</f>
        <v>48000</v>
      </c>
      <c r="H91" s="3">
        <f>BayView!N154</f>
        <v>58240</v>
      </c>
      <c r="I91" s="3">
        <f>BayView!O154</f>
        <v>58240</v>
      </c>
      <c r="J91" s="3">
        <f>BayView!P154</f>
        <v>58240</v>
      </c>
      <c r="K91" s="3">
        <f>BayView!Q154</f>
        <v>58240</v>
      </c>
      <c r="L91" s="3">
        <f>BayView!R154</f>
        <v>58240</v>
      </c>
      <c r="M91" s="3">
        <f>BayView!S154</f>
        <v>58240</v>
      </c>
      <c r="N91" s="3">
        <f>BayView!T154</f>
        <v>58240</v>
      </c>
      <c r="O91" s="3">
        <f>BayView!U154</f>
        <v>58240</v>
      </c>
      <c r="P91" s="3">
        <f>BayView!V154</f>
        <v>58240</v>
      </c>
      <c r="Q91" s="3">
        <f>BayView!W154</f>
        <v>58240</v>
      </c>
      <c r="R91" s="3">
        <f>BayView!X154</f>
        <v>10240</v>
      </c>
      <c r="S91" s="3">
        <f>BayView!Y154</f>
        <v>10240</v>
      </c>
      <c r="T91" s="3">
        <f>BayView!Z154</f>
        <v>10240</v>
      </c>
      <c r="U91" s="3">
        <f>BayView!AA154</f>
        <v>10240</v>
      </c>
      <c r="V91" s="3">
        <f>BayView!AB154</f>
        <v>10240</v>
      </c>
      <c r="W91" s="3">
        <f>BayView!AC154</f>
        <v>0</v>
      </c>
      <c r="X91" s="3">
        <f>BayView!AD154</f>
        <v>0</v>
      </c>
    </row>
    <row r="92" spans="3:24">
      <c r="C92" s="211"/>
      <c r="D92" s="171" t="s">
        <v>29</v>
      </c>
      <c r="E92" s="3">
        <f>BayView!K155</f>
        <v>15.9</v>
      </c>
      <c r="F92" s="3">
        <f>BayView!L155</f>
        <v>15.9</v>
      </c>
      <c r="G92" s="3">
        <f>BayView!M155</f>
        <v>15.9</v>
      </c>
      <c r="H92" s="3">
        <f>BayView!N155</f>
        <v>19.080000000000002</v>
      </c>
      <c r="I92" s="3">
        <f>BayView!O155</f>
        <v>19.080000000000002</v>
      </c>
      <c r="J92" s="3">
        <f>BayView!P155</f>
        <v>19.080000000000002</v>
      </c>
      <c r="K92" s="3">
        <f>BayView!Q155</f>
        <v>19.080000000000002</v>
      </c>
      <c r="L92" s="3">
        <f>BayView!R155</f>
        <v>27.560000000000002</v>
      </c>
      <c r="M92" s="3">
        <f>BayView!S155</f>
        <v>27.560000000000002</v>
      </c>
      <c r="N92" s="3">
        <f>BayView!T155</f>
        <v>27.560000000000002</v>
      </c>
      <c r="O92" s="3">
        <f>BayView!U155</f>
        <v>27.560000000000002</v>
      </c>
      <c r="P92" s="3">
        <f>BayView!V155</f>
        <v>27.560000000000002</v>
      </c>
      <c r="Q92" s="3">
        <f>BayView!W155</f>
        <v>27.560000000000002</v>
      </c>
      <c r="R92" s="3">
        <f>BayView!X155</f>
        <v>11.66</v>
      </c>
      <c r="S92" s="3">
        <f>BayView!Y155</f>
        <v>11.66</v>
      </c>
      <c r="T92" s="3">
        <f>BayView!Z155</f>
        <v>11.66</v>
      </c>
      <c r="U92" s="3">
        <f>BayView!AA155</f>
        <v>11.66</v>
      </c>
      <c r="V92" s="3">
        <f>BayView!AB155</f>
        <v>11.66</v>
      </c>
      <c r="W92" s="3">
        <f>BayView!AC155</f>
        <v>11.66</v>
      </c>
      <c r="X92" s="3">
        <f>BayView!AD155</f>
        <v>11.66</v>
      </c>
    </row>
    <row r="93" spans="3:24">
      <c r="C93" s="211"/>
      <c r="D93" s="171" t="s">
        <v>30</v>
      </c>
      <c r="E93" s="3">
        <f>BayView!K156</f>
        <v>1.2</v>
      </c>
      <c r="F93" s="3">
        <f>BayView!L156</f>
        <v>1.2</v>
      </c>
      <c r="G93" s="3">
        <f>BayView!M156</f>
        <v>1.2</v>
      </c>
      <c r="H93" s="3">
        <f>BayView!N156</f>
        <v>2.5499999999999998</v>
      </c>
      <c r="I93" s="3">
        <f>BayView!O156</f>
        <v>2.5499999999999998</v>
      </c>
      <c r="J93" s="3">
        <f>BayView!P156</f>
        <v>2.5499999999999998</v>
      </c>
      <c r="K93" s="3">
        <f>BayView!Q156</f>
        <v>2.5499999999999998</v>
      </c>
      <c r="L93" s="3">
        <f>BayView!R156</f>
        <v>4.05</v>
      </c>
      <c r="M93" s="3">
        <f>BayView!S156</f>
        <v>4.05</v>
      </c>
      <c r="N93" s="3">
        <f>BayView!T156</f>
        <v>4.05</v>
      </c>
      <c r="O93" s="3">
        <f>BayView!U156</f>
        <v>4.05</v>
      </c>
      <c r="P93" s="3">
        <f>BayView!V156</f>
        <v>4.05</v>
      </c>
      <c r="Q93" s="3">
        <f>BayView!W156</f>
        <v>4.05</v>
      </c>
      <c r="R93" s="3">
        <f>BayView!X156</f>
        <v>2.8499999999999996</v>
      </c>
      <c r="S93" s="3">
        <f>BayView!Y156</f>
        <v>2.8499999999999996</v>
      </c>
      <c r="T93" s="3">
        <f>BayView!Z156</f>
        <v>2.8499999999999996</v>
      </c>
      <c r="U93" s="3">
        <f>BayView!AA156</f>
        <v>2.8499999999999996</v>
      </c>
      <c r="V93" s="3">
        <f>BayView!AB156</f>
        <v>2.8499999999999996</v>
      </c>
      <c r="W93" s="3">
        <f>BayView!AC156</f>
        <v>1.3499999999999999</v>
      </c>
      <c r="X93" s="3">
        <f>BayView!AD156</f>
        <v>1.3499999999999999</v>
      </c>
    </row>
    <row r="94" spans="3:24">
      <c r="C94" s="136"/>
      <c r="D94" s="170"/>
      <c r="E94" s="137">
        <v>2024</v>
      </c>
      <c r="F94" s="137">
        <v>2024.25</v>
      </c>
      <c r="G94" s="137">
        <v>2024.5</v>
      </c>
      <c r="H94" s="137">
        <v>2024.75</v>
      </c>
      <c r="I94" s="137">
        <v>2025</v>
      </c>
      <c r="J94" s="137">
        <v>2025.25</v>
      </c>
      <c r="K94" s="137">
        <f t="shared" ref="K94" si="68">J94+0.25</f>
        <v>2025.5</v>
      </c>
      <c r="L94" s="137">
        <f t="shared" ref="L94" si="69">K94+0.25</f>
        <v>2025.75</v>
      </c>
      <c r="M94" s="137">
        <f t="shared" ref="M94" si="70">L94+0.25</f>
        <v>2026</v>
      </c>
      <c r="N94" s="137">
        <f t="shared" ref="N94" si="71">M94+0.25</f>
        <v>2026.25</v>
      </c>
      <c r="O94" s="137">
        <f t="shared" ref="O94" si="72">N94+0.25</f>
        <v>2026.5</v>
      </c>
      <c r="P94" s="137">
        <f t="shared" ref="P94" si="73">O94+0.25</f>
        <v>2026.75</v>
      </c>
      <c r="Q94" s="137">
        <f t="shared" ref="Q94" si="74">P94+0.25</f>
        <v>2027</v>
      </c>
      <c r="R94" s="137">
        <f t="shared" ref="R94" si="75">Q94+0.25</f>
        <v>2027.25</v>
      </c>
      <c r="S94" s="137">
        <f t="shared" ref="S94" si="76">R94+0.25</f>
        <v>2027.5</v>
      </c>
      <c r="T94" s="137">
        <f t="shared" ref="T94" si="77">S94+0.25</f>
        <v>2027.75</v>
      </c>
      <c r="U94" s="137">
        <f t="shared" ref="U94" si="78">T94+0.25</f>
        <v>2028</v>
      </c>
      <c r="V94" s="137">
        <f t="shared" ref="V94" si="79">U94+0.25</f>
        <v>2028.25</v>
      </c>
      <c r="W94" s="137">
        <f t="shared" ref="W94" si="80">V94+0.25</f>
        <v>2028.5</v>
      </c>
      <c r="X94" s="137">
        <f t="shared" ref="X94" si="81">W94+0.25</f>
        <v>2028.75</v>
      </c>
    </row>
    <row r="95" spans="3:24">
      <c r="C95" s="211" t="s">
        <v>32</v>
      </c>
      <c r="D95" s="171" t="s">
        <v>26</v>
      </c>
      <c r="E95" s="3">
        <f>Mt.Wash!K152</f>
        <v>0</v>
      </c>
      <c r="F95" s="3">
        <f>Mt.Wash!L152</f>
        <v>0</v>
      </c>
      <c r="G95" s="3">
        <f>Mt.Wash!M152</f>
        <v>64</v>
      </c>
      <c r="H95" s="3">
        <f>Mt.Wash!N152</f>
        <v>64</v>
      </c>
      <c r="I95" s="3">
        <f>Mt.Wash!O152</f>
        <v>64</v>
      </c>
      <c r="J95" s="3">
        <f>Mt.Wash!P152</f>
        <v>64</v>
      </c>
      <c r="K95" s="3">
        <f>Mt.Wash!Q152</f>
        <v>64</v>
      </c>
      <c r="L95" s="3">
        <f>Mt.Wash!R152</f>
        <v>64</v>
      </c>
      <c r="M95" s="3">
        <f>Mt.Wash!S152</f>
        <v>64</v>
      </c>
      <c r="N95" s="3">
        <f>Mt.Wash!T152</f>
        <v>64</v>
      </c>
      <c r="O95" s="3">
        <f>Mt.Wash!U152</f>
        <v>64</v>
      </c>
      <c r="P95" s="3">
        <f>Mt.Wash!V152</f>
        <v>64</v>
      </c>
      <c r="Q95" s="3">
        <f>Mt.Wash!W152</f>
        <v>64</v>
      </c>
      <c r="R95" s="3">
        <f>Mt.Wash!X152</f>
        <v>64</v>
      </c>
      <c r="S95" s="3">
        <f>Mt.Wash!Y152</f>
        <v>64</v>
      </c>
      <c r="T95" s="3">
        <f>Mt.Wash!Z152</f>
        <v>64</v>
      </c>
      <c r="U95" s="3">
        <f>Mt.Wash!AA152</f>
        <v>64</v>
      </c>
      <c r="V95" s="3">
        <f>Mt.Wash!AB152</f>
        <v>64</v>
      </c>
      <c r="W95" s="3">
        <f>Mt.Wash!AC152</f>
        <v>64</v>
      </c>
      <c r="X95" s="3">
        <f>Mt.Wash!AD152</f>
        <v>64</v>
      </c>
    </row>
    <row r="96" spans="3:24">
      <c r="C96" s="211"/>
      <c r="D96" s="171" t="s">
        <v>27</v>
      </c>
      <c r="E96" s="3">
        <f>Mt.Wash!K153</f>
        <v>4864</v>
      </c>
      <c r="F96" s="3">
        <f>Mt.Wash!L153</f>
        <v>4864</v>
      </c>
      <c r="G96" s="3">
        <f>Mt.Wash!M153</f>
        <v>9984</v>
      </c>
      <c r="H96" s="3">
        <f>Mt.Wash!N153</f>
        <v>9984</v>
      </c>
      <c r="I96" s="3">
        <f>Mt.Wash!O153</f>
        <v>9984</v>
      </c>
      <c r="J96" s="3">
        <f>Mt.Wash!P153</f>
        <v>9984</v>
      </c>
      <c r="K96" s="3">
        <f>Mt.Wash!Q153</f>
        <v>9984</v>
      </c>
      <c r="L96" s="3">
        <f>Mt.Wash!R153</f>
        <v>9984</v>
      </c>
      <c r="M96" s="3">
        <f>Mt.Wash!S153</f>
        <v>9984</v>
      </c>
      <c r="N96" s="3">
        <f>Mt.Wash!T153</f>
        <v>9984</v>
      </c>
      <c r="O96" s="3">
        <f>Mt.Wash!U153</f>
        <v>9984</v>
      </c>
      <c r="P96" s="3">
        <f>Mt.Wash!V153</f>
        <v>9984</v>
      </c>
      <c r="Q96" s="3">
        <f>Mt.Wash!W153</f>
        <v>9984</v>
      </c>
      <c r="R96" s="3">
        <f>Mt.Wash!X153</f>
        <v>9984</v>
      </c>
      <c r="S96" s="3">
        <f>Mt.Wash!Y153</f>
        <v>9984</v>
      </c>
      <c r="T96" s="3">
        <f>Mt.Wash!Z153</f>
        <v>9984</v>
      </c>
      <c r="U96" s="3">
        <f>Mt.Wash!AA153</f>
        <v>9984</v>
      </c>
      <c r="V96" s="3">
        <f>Mt.Wash!AB153</f>
        <v>9984</v>
      </c>
      <c r="W96" s="3">
        <f>Mt.Wash!AC153</f>
        <v>9984</v>
      </c>
      <c r="X96" s="3">
        <f>Mt.Wash!AD153</f>
        <v>9984</v>
      </c>
    </row>
    <row r="97" spans="3:24">
      <c r="C97" s="211"/>
      <c r="D97" s="171" t="s">
        <v>29</v>
      </c>
      <c r="E97" s="3">
        <f>Mt.Wash!K154</f>
        <v>14.840000000000002</v>
      </c>
      <c r="F97" s="3">
        <f>Mt.Wash!L154</f>
        <v>14.840000000000002</v>
      </c>
      <c r="G97" s="3">
        <f>Mt.Wash!M154</f>
        <v>23.32</v>
      </c>
      <c r="H97" s="3">
        <f>Mt.Wash!N154</f>
        <v>23.32</v>
      </c>
      <c r="I97" s="3">
        <f>Mt.Wash!O154</f>
        <v>23.32</v>
      </c>
      <c r="J97" s="3">
        <f>Mt.Wash!P154</f>
        <v>23.32</v>
      </c>
      <c r="K97" s="3">
        <f>Mt.Wash!Q154</f>
        <v>23.32</v>
      </c>
      <c r="L97" s="3">
        <f>Mt.Wash!R154</f>
        <v>86.92</v>
      </c>
      <c r="M97" s="3">
        <f>Mt.Wash!S154</f>
        <v>86.92</v>
      </c>
      <c r="N97" s="3">
        <f>Mt.Wash!T154</f>
        <v>86.92</v>
      </c>
      <c r="O97" s="3">
        <f>Mt.Wash!U154</f>
        <v>86.92</v>
      </c>
      <c r="P97" s="3">
        <f>Mt.Wash!V154</f>
        <v>86.92</v>
      </c>
      <c r="Q97" s="3">
        <f>Mt.Wash!W154</f>
        <v>86.92</v>
      </c>
      <c r="R97" s="3">
        <f>Mt.Wash!X154</f>
        <v>86.92</v>
      </c>
      <c r="S97" s="3">
        <f>Mt.Wash!Y154</f>
        <v>86.92</v>
      </c>
      <c r="T97" s="3">
        <f>Mt.Wash!Z154</f>
        <v>86.92</v>
      </c>
      <c r="U97" s="3">
        <f>Mt.Wash!AA154</f>
        <v>86.92</v>
      </c>
      <c r="V97" s="3">
        <f>Mt.Wash!AB154</f>
        <v>86.92</v>
      </c>
      <c r="W97" s="3">
        <f>Mt.Wash!AC154</f>
        <v>86.92</v>
      </c>
      <c r="X97" s="3">
        <f>Mt.Wash!AD154</f>
        <v>86.92</v>
      </c>
    </row>
    <row r="98" spans="3:24">
      <c r="C98" s="211"/>
      <c r="D98" s="171" t="s">
        <v>30</v>
      </c>
      <c r="E98" s="3">
        <f>Mt.Wash!K155</f>
        <v>0</v>
      </c>
      <c r="F98" s="3">
        <f>Mt.Wash!L155</f>
        <v>0</v>
      </c>
      <c r="G98" s="3">
        <f>Mt.Wash!M155</f>
        <v>0</v>
      </c>
      <c r="H98" s="3">
        <f>Mt.Wash!N155</f>
        <v>0</v>
      </c>
      <c r="I98" s="3">
        <f>Mt.Wash!O155</f>
        <v>0</v>
      </c>
      <c r="J98" s="3">
        <f>Mt.Wash!P155</f>
        <v>0</v>
      </c>
      <c r="K98" s="3">
        <f>Mt.Wash!Q155</f>
        <v>0</v>
      </c>
      <c r="L98" s="3">
        <f>Mt.Wash!R155</f>
        <v>0</v>
      </c>
      <c r="M98" s="3">
        <f>Mt.Wash!S155</f>
        <v>0</v>
      </c>
      <c r="N98" s="3">
        <f>Mt.Wash!T155</f>
        <v>0</v>
      </c>
      <c r="O98" s="3">
        <f>Mt.Wash!U155</f>
        <v>0</v>
      </c>
      <c r="P98" s="3">
        <f>Mt.Wash!V155</f>
        <v>0</v>
      </c>
      <c r="Q98" s="3">
        <f>Mt.Wash!W155</f>
        <v>0</v>
      </c>
      <c r="R98" s="3">
        <f>Mt.Wash!X155</f>
        <v>0</v>
      </c>
      <c r="S98" s="3">
        <f>Mt.Wash!Y155</f>
        <v>0</v>
      </c>
      <c r="T98" s="3">
        <f>Mt.Wash!Z155</f>
        <v>0</v>
      </c>
      <c r="U98" s="3">
        <f>Mt.Wash!AA155</f>
        <v>0</v>
      </c>
      <c r="V98" s="3">
        <f>Mt.Wash!AB155</f>
        <v>0</v>
      </c>
      <c r="W98" s="3">
        <f>Mt.Wash!AC155</f>
        <v>0</v>
      </c>
      <c r="X98" s="3">
        <f>Mt.Wash!AD155</f>
        <v>0</v>
      </c>
    </row>
    <row r="99" spans="3:24">
      <c r="C99" s="136"/>
      <c r="D99" s="170"/>
      <c r="E99" s="137">
        <v>2024</v>
      </c>
      <c r="F99" s="137">
        <v>2024.25</v>
      </c>
      <c r="G99" s="137">
        <v>2024.5</v>
      </c>
      <c r="H99" s="137">
        <v>2024.75</v>
      </c>
      <c r="I99" s="137">
        <v>2025</v>
      </c>
      <c r="J99" s="137">
        <v>2025.25</v>
      </c>
      <c r="K99" s="137">
        <f t="shared" ref="K99" si="82">J99+0.25</f>
        <v>2025.5</v>
      </c>
      <c r="L99" s="137">
        <f t="shared" ref="L99" si="83">K99+0.25</f>
        <v>2025.75</v>
      </c>
      <c r="M99" s="137">
        <f t="shared" ref="M99" si="84">L99+0.25</f>
        <v>2026</v>
      </c>
      <c r="N99" s="137">
        <f t="shared" ref="N99" si="85">M99+0.25</f>
        <v>2026.25</v>
      </c>
      <c r="O99" s="137">
        <f t="shared" ref="O99" si="86">N99+0.25</f>
        <v>2026.5</v>
      </c>
      <c r="P99" s="137">
        <f t="shared" ref="P99" si="87">O99+0.25</f>
        <v>2026.75</v>
      </c>
      <c r="Q99" s="137">
        <f t="shared" ref="Q99" si="88">P99+0.25</f>
        <v>2027</v>
      </c>
      <c r="R99" s="137">
        <f t="shared" ref="R99" si="89">Q99+0.25</f>
        <v>2027.25</v>
      </c>
      <c r="S99" s="137">
        <f t="shared" ref="S99" si="90">R99+0.25</f>
        <v>2027.5</v>
      </c>
      <c r="T99" s="137">
        <f t="shared" ref="T99" si="91">S99+0.25</f>
        <v>2027.75</v>
      </c>
      <c r="U99" s="137">
        <f t="shared" ref="U99" si="92">T99+0.25</f>
        <v>2028</v>
      </c>
      <c r="V99" s="137">
        <f t="shared" ref="V99" si="93">U99+0.25</f>
        <v>2028.25</v>
      </c>
      <c r="W99" s="137">
        <f t="shared" ref="W99" si="94">V99+0.25</f>
        <v>2028.5</v>
      </c>
      <c r="X99" s="137">
        <f t="shared" ref="X99" si="95">W99+0.25</f>
        <v>2028.75</v>
      </c>
    </row>
    <row r="100" spans="3:24">
      <c r="C100" s="212" t="s">
        <v>10</v>
      </c>
      <c r="D100" s="171" t="s">
        <v>26</v>
      </c>
      <c r="E100" s="3">
        <f>Bloomberg!K152</f>
        <v>24</v>
      </c>
      <c r="F100" s="3">
        <f>Bloomberg!L152</f>
        <v>24</v>
      </c>
      <c r="G100" s="3">
        <f>Bloomberg!M152</f>
        <v>24</v>
      </c>
      <c r="H100" s="3">
        <f>Bloomberg!N152</f>
        <v>24</v>
      </c>
      <c r="I100" s="3">
        <f>Bloomberg!O152</f>
        <v>24</v>
      </c>
      <c r="J100" s="3">
        <f>Bloomberg!P152</f>
        <v>24</v>
      </c>
      <c r="K100" s="3">
        <f>Bloomberg!Q152</f>
        <v>40</v>
      </c>
      <c r="L100" s="3">
        <f>Bloomberg!R152</f>
        <v>40</v>
      </c>
      <c r="M100" s="3">
        <f>Bloomberg!S152</f>
        <v>40</v>
      </c>
      <c r="N100" s="3">
        <f>Bloomberg!T152</f>
        <v>40</v>
      </c>
      <c r="O100" s="3">
        <f>Bloomberg!U152</f>
        <v>40</v>
      </c>
      <c r="P100" s="3">
        <f>Bloomberg!V152</f>
        <v>40</v>
      </c>
      <c r="Q100" s="3">
        <f>Bloomberg!W152</f>
        <v>40</v>
      </c>
      <c r="R100" s="3">
        <f>Bloomberg!X152</f>
        <v>40</v>
      </c>
      <c r="S100" s="3">
        <f>Bloomberg!Y152</f>
        <v>40</v>
      </c>
      <c r="T100" s="3">
        <f>Bloomberg!Z152</f>
        <v>40</v>
      </c>
      <c r="U100" s="3">
        <f>Bloomberg!AA152</f>
        <v>40</v>
      </c>
      <c r="V100" s="3">
        <f>Bloomberg!AB152</f>
        <v>40</v>
      </c>
      <c r="W100" s="3">
        <f>Bloomberg!AC152</f>
        <v>40</v>
      </c>
      <c r="X100" s="3">
        <f>Bloomberg!AD152</f>
        <v>40</v>
      </c>
    </row>
    <row r="101" spans="3:24">
      <c r="C101" s="212"/>
      <c r="D101" s="171" t="s">
        <v>27</v>
      </c>
      <c r="E101" s="3">
        <f>Bloomberg!K153</f>
        <v>19200</v>
      </c>
      <c r="F101" s="3">
        <f>Bloomberg!L153</f>
        <v>19200</v>
      </c>
      <c r="G101" s="3">
        <f>Bloomberg!M153</f>
        <v>19200</v>
      </c>
      <c r="H101" s="3">
        <f>Bloomberg!N153</f>
        <v>19200</v>
      </c>
      <c r="I101" s="3">
        <f>Bloomberg!O153</f>
        <v>19200</v>
      </c>
      <c r="J101" s="3">
        <f>Bloomberg!P153</f>
        <v>19200</v>
      </c>
      <c r="K101" s="3">
        <f>Bloomberg!Q153</f>
        <v>21760</v>
      </c>
      <c r="L101" s="3">
        <f>Bloomberg!R153</f>
        <v>21760</v>
      </c>
      <c r="M101" s="3">
        <f>Bloomberg!S153</f>
        <v>21760</v>
      </c>
      <c r="N101" s="3">
        <f>Bloomberg!T153</f>
        <v>21760</v>
      </c>
      <c r="O101" s="3">
        <f>Bloomberg!U153</f>
        <v>21760</v>
      </c>
      <c r="P101" s="3">
        <f>Bloomberg!V153</f>
        <v>21760</v>
      </c>
      <c r="Q101" s="3">
        <f>Bloomberg!W153</f>
        <v>21760</v>
      </c>
      <c r="R101" s="3">
        <f>Bloomberg!X153</f>
        <v>21760</v>
      </c>
      <c r="S101" s="3">
        <f>Bloomberg!Y153</f>
        <v>21760</v>
      </c>
      <c r="T101" s="3">
        <f>Bloomberg!Z153</f>
        <v>21760</v>
      </c>
      <c r="U101" s="3">
        <f>Bloomberg!AA153</f>
        <v>21760</v>
      </c>
      <c r="V101" s="3">
        <f>Bloomberg!AB153</f>
        <v>21760</v>
      </c>
      <c r="W101" s="3">
        <f>Bloomberg!AC153</f>
        <v>21760</v>
      </c>
      <c r="X101" s="3">
        <f>Bloomberg!AD153</f>
        <v>21760</v>
      </c>
    </row>
    <row r="102" spans="3:24">
      <c r="C102" s="212"/>
      <c r="D102" s="171" t="s">
        <v>29</v>
      </c>
      <c r="E102" s="3">
        <f>Bloomberg!K154</f>
        <v>74.2</v>
      </c>
      <c r="F102" s="3">
        <f>Bloomberg!L154</f>
        <v>74.2</v>
      </c>
      <c r="G102" s="3">
        <f>Bloomberg!M154</f>
        <v>74.2</v>
      </c>
      <c r="H102" s="3">
        <f>Bloomberg!N154</f>
        <v>74.2</v>
      </c>
      <c r="I102" s="3">
        <f>Bloomberg!O154</f>
        <v>74.2</v>
      </c>
      <c r="J102" s="3">
        <f>Bloomberg!P154</f>
        <v>74.2</v>
      </c>
      <c r="K102" s="3">
        <f>Bloomberg!Q154</f>
        <v>84.8</v>
      </c>
      <c r="L102" s="3">
        <f>Bloomberg!R154</f>
        <v>84.8</v>
      </c>
      <c r="M102" s="3">
        <f>Bloomberg!S154</f>
        <v>84.8</v>
      </c>
      <c r="N102" s="3">
        <f>Bloomberg!T154</f>
        <v>84.8</v>
      </c>
      <c r="O102" s="3">
        <f>Bloomberg!U154</f>
        <v>84.8</v>
      </c>
      <c r="P102" s="3">
        <f>Bloomberg!V154</f>
        <v>84.8</v>
      </c>
      <c r="Q102" s="3">
        <f>Bloomberg!W154</f>
        <v>84.8</v>
      </c>
      <c r="R102" s="3">
        <f>Bloomberg!X154</f>
        <v>84.8</v>
      </c>
      <c r="S102" s="3">
        <f>Bloomberg!Y154</f>
        <v>84.8</v>
      </c>
      <c r="T102" s="3">
        <f>Bloomberg!Z154</f>
        <v>84.8</v>
      </c>
      <c r="U102" s="3">
        <f>Bloomberg!AA154</f>
        <v>84.8</v>
      </c>
      <c r="V102" s="3">
        <f>Bloomberg!AB154</f>
        <v>84.8</v>
      </c>
      <c r="W102" s="3">
        <f>Bloomberg!AC154</f>
        <v>84.8</v>
      </c>
      <c r="X102" s="3">
        <f>Bloomberg!AD154</f>
        <v>84.8</v>
      </c>
    </row>
    <row r="103" spans="3:24">
      <c r="C103" s="212"/>
      <c r="D103" s="171" t="s">
        <v>30</v>
      </c>
      <c r="E103" s="3">
        <f>Bloomberg!K155</f>
        <v>5.3999999999999995</v>
      </c>
      <c r="F103" s="3">
        <f>Bloomberg!L155</f>
        <v>5.3999999999999995</v>
      </c>
      <c r="G103" s="3">
        <f>Bloomberg!M155</f>
        <v>5.3999999999999995</v>
      </c>
      <c r="H103" s="3">
        <f>Bloomberg!N155</f>
        <v>5.3999999999999995</v>
      </c>
      <c r="I103" s="3">
        <f>Bloomberg!O155</f>
        <v>5.3999999999999995</v>
      </c>
      <c r="J103" s="3">
        <f>Bloomberg!P155</f>
        <v>5.3999999999999995</v>
      </c>
      <c r="K103" s="3">
        <f>Bloomberg!Q155</f>
        <v>10.199999999999999</v>
      </c>
      <c r="L103" s="3">
        <f>Bloomberg!R155</f>
        <v>10.199999999999999</v>
      </c>
      <c r="M103" s="3">
        <f>Bloomberg!S155</f>
        <v>10.199999999999999</v>
      </c>
      <c r="N103" s="3">
        <f>Bloomberg!T155</f>
        <v>10.199999999999999</v>
      </c>
      <c r="O103" s="3">
        <f>Bloomberg!U155</f>
        <v>10.199999999999999</v>
      </c>
      <c r="P103" s="3">
        <f>Bloomberg!V155</f>
        <v>10.199999999999999</v>
      </c>
      <c r="Q103" s="3">
        <f>Bloomberg!W155</f>
        <v>10.199999999999999</v>
      </c>
      <c r="R103" s="3">
        <f>Bloomberg!X155</f>
        <v>10.199999999999999</v>
      </c>
      <c r="S103" s="3">
        <f>Bloomberg!Y155</f>
        <v>10.199999999999999</v>
      </c>
      <c r="T103" s="3">
        <f>Bloomberg!Z155</f>
        <v>10.199999999999999</v>
      </c>
      <c r="U103" s="3">
        <f>Bloomberg!AA155</f>
        <v>10.199999999999999</v>
      </c>
      <c r="V103" s="3">
        <f>Bloomberg!AB155</f>
        <v>10.199999999999999</v>
      </c>
      <c r="W103" s="3">
        <f>Bloomberg!AC155</f>
        <v>10.199999999999999</v>
      </c>
      <c r="X103" s="3">
        <f>Bloomberg!AD155</f>
        <v>10.199999999999999</v>
      </c>
    </row>
  </sheetData>
  <mergeCells count="19">
    <mergeCell ref="C90:C93"/>
    <mergeCell ref="C95:C98"/>
    <mergeCell ref="C100:C103"/>
    <mergeCell ref="G70:J70"/>
    <mergeCell ref="K70:N70"/>
    <mergeCell ref="G71:J71"/>
    <mergeCell ref="K71:N71"/>
    <mergeCell ref="C65:C71"/>
    <mergeCell ref="AO1:AP1"/>
    <mergeCell ref="AO2:AP2"/>
    <mergeCell ref="C75:C79"/>
    <mergeCell ref="C84:C88"/>
    <mergeCell ref="O70:R70"/>
    <mergeCell ref="S70:V70"/>
    <mergeCell ref="O71:R71"/>
    <mergeCell ref="S71:V71"/>
    <mergeCell ref="C49:C53"/>
    <mergeCell ref="C57:C61"/>
    <mergeCell ref="Y4:AC5"/>
  </mergeCells>
  <pageMargins left="0.7" right="0.7" top="0.75" bottom="0.75" header="0.3" footer="0.3"/>
  <pageSetup orientation="portrait" r:id="rId1"/>
  <rowBreaks count="1" manualBreakCount="1">
    <brk id="4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8776-3042-427F-A803-AFDF01F80F80}">
  <dimension ref="C1:AX179"/>
  <sheetViews>
    <sheetView tabSelected="1" topLeftCell="A42" zoomScale="130" zoomScaleNormal="130" workbookViewId="0">
      <selection activeCell="E68" sqref="E68"/>
    </sheetView>
  </sheetViews>
  <sheetFormatPr defaultColWidth="8.85546875" defaultRowHeight="15"/>
  <cols>
    <col min="1" max="1" width="3.42578125" customWidth="1"/>
    <col min="2" max="2" width="4.7109375" customWidth="1"/>
    <col min="3" max="3" width="9.140625" customWidth="1"/>
    <col min="4" max="4" width="6.140625" style="25" customWidth="1"/>
    <col min="5" max="5" width="12.28515625" style="78" customWidth="1"/>
    <col min="6" max="6" width="9.140625" style="51" customWidth="1"/>
    <col min="7" max="7" width="13" style="13" customWidth="1"/>
    <col min="8" max="8" width="10.140625" style="51" customWidth="1"/>
    <col min="9" max="9" width="12.42578125" style="105" customWidth="1"/>
    <col min="10" max="10" width="9.42578125" style="65" customWidth="1"/>
    <col min="11" max="11" width="7.140625" customWidth="1"/>
    <col min="12" max="30" width="9.140625" customWidth="1"/>
    <col min="31" max="39" width="7.140625" customWidth="1"/>
    <col min="41" max="41" width="10.42578125" customWidth="1"/>
    <col min="44" max="44" width="5.7109375" customWidth="1"/>
    <col min="47" max="47" width="10.42578125" style="18" customWidth="1"/>
    <col min="48" max="48" width="10.42578125" style="92" customWidth="1"/>
  </cols>
  <sheetData>
    <row r="1" spans="9:50" ht="9.9499999999999993" customHeight="1">
      <c r="I1" s="104"/>
      <c r="J1" s="64"/>
      <c r="AU1" s="214" t="s">
        <v>0</v>
      </c>
      <c r="AV1" s="214"/>
    </row>
    <row r="2" spans="9:50" ht="9.9499999999999993" customHeight="1">
      <c r="I2" s="104"/>
      <c r="J2" s="64"/>
      <c r="AO2" s="2"/>
      <c r="AU2" s="213" t="s">
        <v>1</v>
      </c>
      <c r="AV2" s="213"/>
    </row>
    <row r="3" spans="9:50" ht="9.9499999999999993" customHeight="1">
      <c r="I3" s="104"/>
      <c r="J3" s="64"/>
      <c r="AU3" s="15" t="s">
        <v>2</v>
      </c>
      <c r="AV3" s="52" t="s">
        <v>3</v>
      </c>
      <c r="AW3" s="3" t="s">
        <v>33</v>
      </c>
    </row>
    <row r="4" spans="9:50" ht="9.9499999999999993" customHeight="1">
      <c r="I4" s="104"/>
      <c r="J4" s="64"/>
      <c r="AU4" s="15">
        <v>2024</v>
      </c>
      <c r="AV4" s="52">
        <f>HLOOKUP(AU4,$K$47:$AD$48,2)</f>
        <v>0.91212857142857151</v>
      </c>
      <c r="AW4" s="52">
        <f>HLOOKUP($AU4,$K$45:$AD$46,2)</f>
        <v>0.91212857142857151</v>
      </c>
    </row>
    <row r="5" spans="9:50" ht="9.9499999999999993" customHeight="1">
      <c r="I5" s="104"/>
      <c r="J5" s="64"/>
      <c r="AU5" s="15">
        <v>2024.25</v>
      </c>
      <c r="AV5" s="90">
        <f>AV4</f>
        <v>0.91212857142857151</v>
      </c>
      <c r="AW5" s="90">
        <f>AW4</f>
        <v>0.91212857142857151</v>
      </c>
    </row>
    <row r="6" spans="9:50" ht="9.9499999999999993" customHeight="1">
      <c r="I6" s="104"/>
      <c r="J6" s="64"/>
      <c r="AU6" s="15">
        <v>2024.25</v>
      </c>
      <c r="AV6" s="52">
        <f>HLOOKUP(AU6,$K$47:$AD$48,2)</f>
        <v>0.91212857142857151</v>
      </c>
      <c r="AW6" s="52">
        <f>HLOOKUP($AU6,$K$45:$AD$46,2)</f>
        <v>0.91212857142857151</v>
      </c>
    </row>
    <row r="7" spans="9:50" ht="9.9499999999999993" customHeight="1">
      <c r="I7" s="104"/>
      <c r="J7" s="64"/>
      <c r="AD7" s="15"/>
      <c r="AU7" s="15">
        <v>2024.5</v>
      </c>
      <c r="AV7" s="90">
        <f>AV6</f>
        <v>0.91212857142857151</v>
      </c>
      <c r="AW7" s="90">
        <f>AW6</f>
        <v>0.91212857142857151</v>
      </c>
    </row>
    <row r="8" spans="9:50" ht="9.9499999999999993" customHeight="1">
      <c r="I8" s="104"/>
      <c r="J8" s="64"/>
      <c r="AU8" s="15">
        <v>2024.5</v>
      </c>
      <c r="AV8" s="52">
        <f>HLOOKUP(AU8,$K$47:$AD$48,2)</f>
        <v>0.91212857142857151</v>
      </c>
      <c r="AW8" s="52">
        <f>HLOOKUP($AU8,$K$45:$AD$46,2)</f>
        <v>0.91212857142857151</v>
      </c>
    </row>
    <row r="9" spans="9:50" ht="9.9499999999999993" customHeight="1">
      <c r="AU9" s="15">
        <v>2024.75</v>
      </c>
      <c r="AV9" s="90">
        <f>AV8</f>
        <v>0.91212857142857151</v>
      </c>
      <c r="AW9" s="90">
        <f>AW8</f>
        <v>0.91212857142857151</v>
      </c>
    </row>
    <row r="10" spans="9:50" ht="9.9499999999999993" customHeight="1">
      <c r="AU10" s="15">
        <v>2024.75</v>
      </c>
      <c r="AV10" s="52">
        <f>HLOOKUP(AU10,$K$47:$AD$48,2)</f>
        <v>1.240014285714286</v>
      </c>
      <c r="AW10" s="52">
        <f>HLOOKUP($AU10,$K$45:$AD$46,2)</f>
        <v>1.240014285714286</v>
      </c>
    </row>
    <row r="11" spans="9:50" ht="9.9499999999999993" customHeight="1">
      <c r="AU11" s="15">
        <v>2025</v>
      </c>
      <c r="AV11" s="90">
        <f>AV10</f>
        <v>1.240014285714286</v>
      </c>
      <c r="AW11" s="90">
        <f>AW10</f>
        <v>1.240014285714286</v>
      </c>
    </row>
    <row r="12" spans="9:50" ht="9.9499999999999993" customHeight="1">
      <c r="AU12" s="15">
        <v>2025</v>
      </c>
      <c r="AV12" s="52">
        <f>HLOOKUP(AU12,$K$47:$AD$48,2)</f>
        <v>1.240014285714286</v>
      </c>
      <c r="AW12" s="52">
        <f>HLOOKUP($AU12,$K$45:$AD$46,2)</f>
        <v>1.240014285714286</v>
      </c>
      <c r="AX12" s="18"/>
    </row>
    <row r="13" spans="9:50" ht="9.9499999999999993" customHeight="1">
      <c r="AU13" s="15">
        <v>2025.25</v>
      </c>
      <c r="AV13" s="90">
        <f>AV12</f>
        <v>1.240014285714286</v>
      </c>
      <c r="AW13" s="90">
        <f>AW12</f>
        <v>1.240014285714286</v>
      </c>
    </row>
    <row r="14" spans="9:50" ht="9.9499999999999993" customHeight="1">
      <c r="AU14" s="15">
        <v>2025.25</v>
      </c>
      <c r="AV14" s="52">
        <f>HLOOKUP(AU14,$K$47:$AD$48,2)</f>
        <v>1.240014285714286</v>
      </c>
      <c r="AW14" s="52">
        <f>HLOOKUP($AU14,$K$45:$AD$46,2)</f>
        <v>1.240014285714286</v>
      </c>
    </row>
    <row r="15" spans="9:50" ht="9.9499999999999993" customHeight="1">
      <c r="AU15" s="15">
        <v>2025.5</v>
      </c>
      <c r="AV15" s="90">
        <f>AV14</f>
        <v>1.240014285714286</v>
      </c>
      <c r="AW15" s="90">
        <f>AW14</f>
        <v>1.240014285714286</v>
      </c>
    </row>
    <row r="16" spans="9:50" ht="9.9499999999999993" customHeight="1">
      <c r="AU16" s="15">
        <v>2025.5</v>
      </c>
      <c r="AV16" s="52">
        <f>HLOOKUP(AU16,$K$47:$AD$48,2)</f>
        <v>1.240014285714286</v>
      </c>
      <c r="AW16" s="52">
        <f>HLOOKUP($AU16,$K$45:$AD$46,2)</f>
        <v>1.240014285714286</v>
      </c>
    </row>
    <row r="17" spans="3:49" ht="9.9499999999999993" customHeight="1">
      <c r="AU17" s="15">
        <v>2025.75</v>
      </c>
      <c r="AV17" s="90">
        <f>AV16</f>
        <v>1.240014285714286</v>
      </c>
      <c r="AW17" s="90">
        <f>AW16</f>
        <v>1.240014285714286</v>
      </c>
    </row>
    <row r="18" spans="3:49" ht="9.9499999999999993" customHeight="1">
      <c r="AU18" s="15">
        <v>2025.75</v>
      </c>
      <c r="AV18" s="52">
        <f>HLOOKUP(AU18,$K$47:$AD$48,2)</f>
        <v>1.3754428571428574</v>
      </c>
      <c r="AW18" s="52">
        <f>HLOOKUP($AU18,$K$45:$AD$46,2)</f>
        <v>1.3754428571428574</v>
      </c>
    </row>
    <row r="19" spans="3:49" ht="9.9499999999999993" customHeight="1">
      <c r="C19" s="17"/>
      <c r="AU19" s="15">
        <v>2026</v>
      </c>
      <c r="AV19" s="90">
        <f>AV18</f>
        <v>1.3754428571428574</v>
      </c>
      <c r="AW19" s="90">
        <f>AW18</f>
        <v>1.3754428571428574</v>
      </c>
    </row>
    <row r="20" spans="3:49" ht="9.9499999999999993" customHeight="1">
      <c r="AU20" s="15">
        <v>2026</v>
      </c>
      <c r="AV20" s="52">
        <f>HLOOKUP(AU20,$K$47:$AD$48,2)</f>
        <v>1.3754428571428574</v>
      </c>
      <c r="AW20" s="52">
        <f>HLOOKUP($AU20,$K$45:$AD$46,2)</f>
        <v>1.3754428571428574</v>
      </c>
    </row>
    <row r="21" spans="3:49" ht="9.9499999999999993" customHeight="1">
      <c r="AU21" s="15">
        <v>2026.25</v>
      </c>
      <c r="AV21" s="90">
        <f>AV20</f>
        <v>1.3754428571428574</v>
      </c>
      <c r="AW21" s="90">
        <f>AW20</f>
        <v>1.3754428571428574</v>
      </c>
    </row>
    <row r="22" spans="3:49" ht="9.9499999999999993" customHeight="1">
      <c r="AU22" s="15">
        <v>2026.25</v>
      </c>
      <c r="AV22" s="52">
        <f>HLOOKUP(AU22,$K$47:$AD$48,2)</f>
        <v>1.3754428571428574</v>
      </c>
      <c r="AW22" s="52">
        <f>HLOOKUP($AU22,$K$45:$AD$46,2)</f>
        <v>1.3754428571428574</v>
      </c>
    </row>
    <row r="23" spans="3:49" ht="9.9499999999999993" customHeight="1">
      <c r="AU23" s="15">
        <v>2026.5</v>
      </c>
      <c r="AV23" s="90">
        <f>AV22</f>
        <v>1.3754428571428574</v>
      </c>
      <c r="AW23" s="90">
        <f>AW22</f>
        <v>1.3754428571428574</v>
      </c>
    </row>
    <row r="24" spans="3:49" ht="9.9499999999999993" customHeight="1">
      <c r="AU24" s="15">
        <v>2026.5</v>
      </c>
      <c r="AV24" s="52">
        <f>HLOOKUP(AU24,$K$47:$AD$48,2)</f>
        <v>1.3754428571428574</v>
      </c>
      <c r="AW24" s="52">
        <f>HLOOKUP($AU24,$K$45:$AD$46,2)</f>
        <v>1.3754428571428574</v>
      </c>
    </row>
    <row r="25" spans="3:49" ht="9.9499999999999993" customHeight="1">
      <c r="AU25" s="15">
        <v>2026.75</v>
      </c>
      <c r="AV25" s="90">
        <f>AV24</f>
        <v>1.3754428571428574</v>
      </c>
      <c r="AW25" s="90">
        <f>AW24</f>
        <v>1.3754428571428574</v>
      </c>
    </row>
    <row r="26" spans="3:49" ht="9.9499999999999993" customHeight="1">
      <c r="AU26" s="15">
        <v>2026.75</v>
      </c>
      <c r="AV26" s="52">
        <f>HLOOKUP(AU26,$K$47:$AD$48,2)</f>
        <v>1.3754428571428574</v>
      </c>
      <c r="AW26" s="52">
        <f>HLOOKUP($AU26,$K$45:$AD$46,2)</f>
        <v>1.3754428571428574</v>
      </c>
    </row>
    <row r="27" spans="3:49" ht="9.9499999999999993" customHeight="1">
      <c r="AU27" s="15">
        <v>2027</v>
      </c>
      <c r="AV27" s="90">
        <f>AV26</f>
        <v>1.3754428571428574</v>
      </c>
      <c r="AW27" s="90">
        <f>AW26</f>
        <v>1.3754428571428574</v>
      </c>
    </row>
    <row r="28" spans="3:49" ht="9.9499999999999993" customHeight="1">
      <c r="AU28" s="15">
        <v>2027</v>
      </c>
      <c r="AV28" s="52">
        <f>HLOOKUP(AU28,$K$47:$AD$48,2)</f>
        <v>1.3754428571428574</v>
      </c>
      <c r="AW28" s="52">
        <f>HLOOKUP($AU28,$K$45:$AD$46,2)</f>
        <v>1.3754428571428574</v>
      </c>
    </row>
    <row r="29" spans="3:49" ht="9.9499999999999993" customHeight="1">
      <c r="AU29" s="15">
        <v>2027.25</v>
      </c>
      <c r="AV29" s="90">
        <f>AV28</f>
        <v>1.3754428571428574</v>
      </c>
      <c r="AW29" s="90">
        <f>AW28</f>
        <v>1.3754428571428574</v>
      </c>
    </row>
    <row r="30" spans="3:49" ht="9.9499999999999993" customHeight="1">
      <c r="AU30" s="15">
        <v>2027.25</v>
      </c>
      <c r="AV30" s="52">
        <f>HLOOKUP(AU30,$K$47:$AD$48,2)</f>
        <v>0.61331428571428581</v>
      </c>
      <c r="AW30" s="52">
        <f>HLOOKUP($AU30,$K$45:$AD$46,2)</f>
        <v>0.61331428571428581</v>
      </c>
    </row>
    <row r="31" spans="3:49" ht="9.9499999999999993" customHeight="1">
      <c r="AU31" s="15">
        <v>2027.5</v>
      </c>
      <c r="AV31" s="90">
        <f>AV30</f>
        <v>0.61331428571428581</v>
      </c>
      <c r="AW31" s="90">
        <f>AW30</f>
        <v>0.61331428571428581</v>
      </c>
    </row>
    <row r="32" spans="3:49" ht="9.9499999999999993" customHeight="1">
      <c r="AU32" s="15">
        <v>2027.5</v>
      </c>
      <c r="AV32" s="52">
        <f>HLOOKUP(AU32,$K$47:$AD$48,2)</f>
        <v>0.61331428571428581</v>
      </c>
      <c r="AW32" s="52">
        <f>HLOOKUP($AU32,$K$45:$AD$46,2)</f>
        <v>0.61331428571428581</v>
      </c>
    </row>
    <row r="33" spans="3:49" ht="9.9499999999999993" customHeight="1">
      <c r="AU33" s="15">
        <v>2027.75</v>
      </c>
      <c r="AV33" s="90">
        <f>AV32</f>
        <v>0.61331428571428581</v>
      </c>
      <c r="AW33" s="90">
        <f>AW32</f>
        <v>0.61331428571428581</v>
      </c>
    </row>
    <row r="34" spans="3:49" ht="9.9499999999999993" customHeight="1">
      <c r="AU34" s="15">
        <v>2027.75</v>
      </c>
      <c r="AV34" s="52">
        <f>HLOOKUP(AU34,$K$47:$AD$48,2)</f>
        <v>0.61331428571428581</v>
      </c>
      <c r="AW34" s="52">
        <f>HLOOKUP($AU34,$K$45:$AD$46,2)</f>
        <v>0.61331428571428581</v>
      </c>
    </row>
    <row r="35" spans="3:49" ht="9.9499999999999993" customHeight="1">
      <c r="AU35" s="15">
        <v>2028</v>
      </c>
      <c r="AV35" s="90">
        <f>AV34</f>
        <v>0.61331428571428581</v>
      </c>
      <c r="AW35" s="90">
        <f>AW34</f>
        <v>0.61331428571428581</v>
      </c>
    </row>
    <row r="36" spans="3:49" ht="9.9499999999999993" customHeight="1">
      <c r="AU36" s="61">
        <v>2028</v>
      </c>
      <c r="AV36" s="91">
        <f>HLOOKUP(AU36,$K$47:$AD$48,2)</f>
        <v>0.61331428571428581</v>
      </c>
      <c r="AW36" s="52">
        <f>HLOOKUP($AU36,$K$45:$AD$46,2)</f>
        <v>0.61331428571428581</v>
      </c>
    </row>
    <row r="37" spans="3:49" ht="9.9499999999999993" customHeight="1">
      <c r="AU37" s="15">
        <v>2028.25</v>
      </c>
      <c r="AV37" s="90">
        <f>AV36</f>
        <v>0.61331428571428581</v>
      </c>
      <c r="AW37" s="90">
        <f>AW36</f>
        <v>0.61331428571428581</v>
      </c>
    </row>
    <row r="38" spans="3:49" ht="9.9499999999999993" customHeight="1">
      <c r="AU38" s="15">
        <v>2028.25</v>
      </c>
      <c r="AV38" s="52">
        <f>HLOOKUP(AU38,$K$47:$AD$48,2)</f>
        <v>0.61331428571428581</v>
      </c>
      <c r="AW38" s="52">
        <f>HLOOKUP($AU38,$K$45:$AD$46,2)</f>
        <v>0.61331428571428581</v>
      </c>
    </row>
    <row r="39" spans="3:49" ht="9.9499999999999993" customHeight="1">
      <c r="AU39" s="15">
        <v>2028.5</v>
      </c>
      <c r="AV39" s="90">
        <f>AV38</f>
        <v>0.61331428571428581</v>
      </c>
      <c r="AW39" s="90">
        <f>AW38</f>
        <v>0.61331428571428581</v>
      </c>
    </row>
    <row r="40" spans="3:49" ht="9.9499999999999993" customHeight="1">
      <c r="AU40" s="15">
        <v>2028.5</v>
      </c>
      <c r="AV40" s="52">
        <f>HLOOKUP(AU40,$K$47:$AD$48,2)</f>
        <v>0.28931428571428575</v>
      </c>
      <c r="AW40" s="52">
        <f>HLOOKUP($AU40,$K$45:$AD$46,2)</f>
        <v>0.28931428571428575</v>
      </c>
    </row>
    <row r="41" spans="3:49" ht="9.9499999999999993" customHeight="1">
      <c r="I41" s="104"/>
      <c r="J41" s="64"/>
      <c r="AU41" s="15">
        <v>2028.75</v>
      </c>
      <c r="AV41" s="90">
        <f>AV40</f>
        <v>0.28931428571428575</v>
      </c>
      <c r="AW41" s="90">
        <f>AW40</f>
        <v>0.28931428571428575</v>
      </c>
    </row>
    <row r="42" spans="3:49" ht="9.9499999999999993" customHeight="1">
      <c r="I42" s="226"/>
      <c r="J42" s="6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U42" s="15">
        <v>2028.75</v>
      </c>
      <c r="AV42" s="52">
        <f>HLOOKUP(AU42,$K$47:$AD$48,2)</f>
        <v>0.28931428571428575</v>
      </c>
      <c r="AW42" s="52">
        <f>HLOOKUP($AU42,$K$45:$AD$46,2)</f>
        <v>0.28931428571428575</v>
      </c>
    </row>
    <row r="43" spans="3:49" ht="9.9499999999999993" customHeight="1">
      <c r="I43" s="226"/>
      <c r="J43" s="6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spans="3:49" ht="9.9499999999999993" customHeight="1">
      <c r="I44" s="226"/>
      <c r="J44" s="66"/>
    </row>
    <row r="45" spans="3:49" ht="15" customHeight="1">
      <c r="I45" s="226"/>
      <c r="J45" s="66"/>
      <c r="K45" s="151">
        <v>2024</v>
      </c>
      <c r="L45" s="151">
        <v>2024.25</v>
      </c>
      <c r="M45" s="151">
        <v>2024.5</v>
      </c>
      <c r="N45" s="151">
        <v>2024.75</v>
      </c>
      <c r="O45" s="151">
        <v>2025</v>
      </c>
      <c r="P45" s="151">
        <v>2025.25</v>
      </c>
      <c r="Q45" s="151">
        <f t="shared" ref="Q45" si="0">P45+0.25</f>
        <v>2025.5</v>
      </c>
      <c r="R45" s="151">
        <f t="shared" ref="R45" si="1">Q45+0.25</f>
        <v>2025.75</v>
      </c>
      <c r="S45" s="151">
        <f t="shared" ref="S45" si="2">R45+0.25</f>
        <v>2026</v>
      </c>
      <c r="T45" s="151">
        <f t="shared" ref="T45" si="3">S45+0.25</f>
        <v>2026.25</v>
      </c>
      <c r="U45" s="151">
        <f t="shared" ref="U45" si="4">T45+0.25</f>
        <v>2026.5</v>
      </c>
      <c r="V45" s="151">
        <f t="shared" ref="V45" si="5">U45+0.25</f>
        <v>2026.75</v>
      </c>
      <c r="W45" s="151">
        <f t="shared" ref="W45" si="6">V45+0.25</f>
        <v>2027</v>
      </c>
      <c r="X45" s="151">
        <f t="shared" ref="X45" si="7">W45+0.25</f>
        <v>2027.25</v>
      </c>
      <c r="Y45" s="151">
        <f t="shared" ref="Y45" si="8">X45+0.25</f>
        <v>2027.5</v>
      </c>
      <c r="Z45" s="151">
        <f t="shared" ref="Z45" si="9">Y45+0.25</f>
        <v>2027.75</v>
      </c>
      <c r="AA45" s="151">
        <f t="shared" ref="AA45" si="10">Z45+0.25</f>
        <v>2028</v>
      </c>
      <c r="AB45" s="151">
        <f t="shared" ref="AB45" si="11">AA45+0.25</f>
        <v>2028.25</v>
      </c>
      <c r="AC45" s="151">
        <f t="shared" ref="AC45" si="12">AB45+0.25</f>
        <v>2028.5</v>
      </c>
      <c r="AD45" s="151">
        <f t="shared" ref="AD45" si="13">AC45+0.25</f>
        <v>2028.75</v>
      </c>
    </row>
    <row r="46" spans="3:49" ht="15.95" thickBot="1">
      <c r="I46" s="106"/>
      <c r="J46" s="149" t="s">
        <v>33</v>
      </c>
      <c r="K46" s="150">
        <f>K48</f>
        <v>0.91212857142857151</v>
      </c>
      <c r="L46" s="150">
        <f t="shared" ref="L46:AD46" si="14">L48</f>
        <v>0.91212857142857151</v>
      </c>
      <c r="M46" s="150">
        <f t="shared" si="14"/>
        <v>0.91212857142857151</v>
      </c>
      <c r="N46" s="150">
        <f t="shared" si="14"/>
        <v>1.240014285714286</v>
      </c>
      <c r="O46" s="150">
        <f t="shared" si="14"/>
        <v>1.240014285714286</v>
      </c>
      <c r="P46" s="150">
        <f t="shared" si="14"/>
        <v>1.240014285714286</v>
      </c>
      <c r="Q46" s="150">
        <f t="shared" si="14"/>
        <v>1.240014285714286</v>
      </c>
      <c r="R46" s="150">
        <f t="shared" si="14"/>
        <v>1.3754428571428574</v>
      </c>
      <c r="S46" s="150">
        <f t="shared" si="14"/>
        <v>1.3754428571428574</v>
      </c>
      <c r="T46" s="150">
        <f t="shared" si="14"/>
        <v>1.3754428571428574</v>
      </c>
      <c r="U46" s="150">
        <f t="shared" si="14"/>
        <v>1.3754428571428574</v>
      </c>
      <c r="V46" s="150">
        <f t="shared" si="14"/>
        <v>1.3754428571428574</v>
      </c>
      <c r="W46" s="150">
        <f t="shared" si="14"/>
        <v>1.3754428571428574</v>
      </c>
      <c r="X46" s="150">
        <f t="shared" si="14"/>
        <v>0.61331428571428581</v>
      </c>
      <c r="Y46" s="150">
        <f t="shared" si="14"/>
        <v>0.61331428571428581</v>
      </c>
      <c r="Z46" s="150">
        <f t="shared" si="14"/>
        <v>0.61331428571428581</v>
      </c>
      <c r="AA46" s="150">
        <f t="shared" si="14"/>
        <v>0.61331428571428581</v>
      </c>
      <c r="AB46" s="150">
        <f t="shared" si="14"/>
        <v>0.61331428571428581</v>
      </c>
      <c r="AC46" s="150">
        <f t="shared" si="14"/>
        <v>0.28931428571428575</v>
      </c>
      <c r="AD46" s="150">
        <f t="shared" si="14"/>
        <v>0.28931428571428575</v>
      </c>
    </row>
    <row r="47" spans="3:49" ht="14.45" customHeight="1">
      <c r="C47" s="220" t="s">
        <v>8</v>
      </c>
      <c r="D47" s="221"/>
      <c r="E47" s="221"/>
      <c r="F47" s="221"/>
      <c r="G47" s="221"/>
      <c r="H47" s="221"/>
      <c r="I47" s="222"/>
      <c r="J47" s="219" t="s">
        <v>34</v>
      </c>
      <c r="K47" s="76">
        <v>2024</v>
      </c>
      <c r="L47" s="76">
        <v>2024.25</v>
      </c>
      <c r="M47" s="76">
        <v>2024.5</v>
      </c>
      <c r="N47" s="76">
        <v>2024.75</v>
      </c>
      <c r="O47" s="76">
        <v>2025</v>
      </c>
      <c r="P47" s="76">
        <v>2025.25</v>
      </c>
      <c r="Q47" s="76">
        <f t="shared" ref="Q47:AD47" si="15">P47+0.25</f>
        <v>2025.5</v>
      </c>
      <c r="R47" s="76">
        <f t="shared" si="15"/>
        <v>2025.75</v>
      </c>
      <c r="S47" s="76">
        <f t="shared" si="15"/>
        <v>2026</v>
      </c>
      <c r="T47" s="76">
        <f t="shared" si="15"/>
        <v>2026.25</v>
      </c>
      <c r="U47" s="76">
        <f t="shared" si="15"/>
        <v>2026.5</v>
      </c>
      <c r="V47" s="76">
        <f t="shared" si="15"/>
        <v>2026.75</v>
      </c>
      <c r="W47" s="76">
        <f t="shared" si="15"/>
        <v>2027</v>
      </c>
      <c r="X47" s="76">
        <f t="shared" si="15"/>
        <v>2027.25</v>
      </c>
      <c r="Y47" s="76">
        <f t="shared" si="15"/>
        <v>2027.5</v>
      </c>
      <c r="Z47" s="76">
        <f t="shared" si="15"/>
        <v>2027.75</v>
      </c>
      <c r="AA47" s="76">
        <f t="shared" si="15"/>
        <v>2028</v>
      </c>
      <c r="AB47" s="76">
        <f t="shared" si="15"/>
        <v>2028.25</v>
      </c>
      <c r="AC47" s="76">
        <f t="shared" si="15"/>
        <v>2028.5</v>
      </c>
      <c r="AD47" s="76">
        <f t="shared" si="15"/>
        <v>2028.75</v>
      </c>
      <c r="AE47" s="25"/>
      <c r="AF47" s="25"/>
      <c r="AG47" s="25"/>
      <c r="AH47" s="25"/>
      <c r="AI47" s="25"/>
      <c r="AJ47" s="25"/>
      <c r="AK47" s="25"/>
      <c r="AL47" s="25"/>
      <c r="AM47" s="25"/>
    </row>
    <row r="48" spans="3:49" s="18" customFormat="1" ht="14.45" customHeight="1" thickBot="1">
      <c r="C48" s="223"/>
      <c r="D48" s="224"/>
      <c r="E48" s="224"/>
      <c r="F48" s="224"/>
      <c r="G48" s="224"/>
      <c r="H48" s="224"/>
      <c r="I48" s="225"/>
      <c r="J48" s="219"/>
      <c r="K48" s="89">
        <f>SUM(K51:K76)</f>
        <v>0.91212857142857151</v>
      </c>
      <c r="L48" s="89">
        <f t="shared" ref="L48:AD48" si="16">SUM(L51:L76)</f>
        <v>0.91212857142857151</v>
      </c>
      <c r="M48" s="89">
        <f t="shared" si="16"/>
        <v>0.91212857142857151</v>
      </c>
      <c r="N48" s="89">
        <f t="shared" si="16"/>
        <v>1.240014285714286</v>
      </c>
      <c r="O48" s="89">
        <f t="shared" si="16"/>
        <v>1.240014285714286</v>
      </c>
      <c r="P48" s="89">
        <f t="shared" si="16"/>
        <v>1.240014285714286</v>
      </c>
      <c r="Q48" s="89">
        <f t="shared" si="16"/>
        <v>1.240014285714286</v>
      </c>
      <c r="R48" s="89">
        <f t="shared" si="16"/>
        <v>1.3754428571428574</v>
      </c>
      <c r="S48" s="89">
        <f t="shared" si="16"/>
        <v>1.3754428571428574</v>
      </c>
      <c r="T48" s="89">
        <f t="shared" si="16"/>
        <v>1.3754428571428574</v>
      </c>
      <c r="U48" s="89">
        <f t="shared" si="16"/>
        <v>1.3754428571428574</v>
      </c>
      <c r="V48" s="89">
        <f t="shared" si="16"/>
        <v>1.3754428571428574</v>
      </c>
      <c r="W48" s="89">
        <f t="shared" si="16"/>
        <v>1.3754428571428574</v>
      </c>
      <c r="X48" s="89">
        <f t="shared" si="16"/>
        <v>0.61331428571428581</v>
      </c>
      <c r="Y48" s="89">
        <f t="shared" si="16"/>
        <v>0.61331428571428581</v>
      </c>
      <c r="Z48" s="89">
        <f t="shared" si="16"/>
        <v>0.61331428571428581</v>
      </c>
      <c r="AA48" s="89">
        <f t="shared" si="16"/>
        <v>0.61331428571428581</v>
      </c>
      <c r="AB48" s="89">
        <f t="shared" si="16"/>
        <v>0.61331428571428581</v>
      </c>
      <c r="AC48" s="89">
        <f t="shared" si="16"/>
        <v>0.28931428571428575</v>
      </c>
      <c r="AD48" s="89">
        <f t="shared" si="16"/>
        <v>0.28931428571428575</v>
      </c>
      <c r="AV48" s="92"/>
    </row>
    <row r="49" spans="3:48" ht="15.95" thickBot="1">
      <c r="C49" s="227" t="s">
        <v>35</v>
      </c>
      <c r="D49" s="227"/>
      <c r="E49" s="79"/>
      <c r="F49" s="228" t="s">
        <v>36</v>
      </c>
      <c r="G49" s="229"/>
      <c r="H49" s="229"/>
      <c r="I49" s="229"/>
      <c r="J49" s="230"/>
    </row>
    <row r="50" spans="3:48" s="2" customFormat="1" ht="15.95" thickBot="1">
      <c r="C50" s="70" t="s">
        <v>37</v>
      </c>
      <c r="D50" s="71" t="s">
        <v>38</v>
      </c>
      <c r="E50" s="71" t="s">
        <v>39</v>
      </c>
      <c r="F50" s="68" t="s">
        <v>40</v>
      </c>
      <c r="G50" s="140" t="s">
        <v>41</v>
      </c>
      <c r="H50" s="68" t="s">
        <v>3</v>
      </c>
      <c r="I50" s="107" t="s">
        <v>42</v>
      </c>
      <c r="J50" s="74" t="s">
        <v>43</v>
      </c>
      <c r="K50" s="215">
        <v>2024</v>
      </c>
      <c r="L50" s="216"/>
      <c r="M50" s="216"/>
      <c r="N50" s="217"/>
      <c r="O50" s="215">
        <v>2025</v>
      </c>
      <c r="P50" s="216"/>
      <c r="Q50" s="216"/>
      <c r="R50" s="217"/>
      <c r="S50" s="215">
        <v>2026</v>
      </c>
      <c r="T50" s="216"/>
      <c r="U50" s="216"/>
      <c r="V50" s="217"/>
      <c r="W50" s="215">
        <v>2027</v>
      </c>
      <c r="X50" s="216"/>
      <c r="Y50" s="216"/>
      <c r="Z50" s="217"/>
      <c r="AA50" s="215">
        <v>2028</v>
      </c>
      <c r="AB50" s="216"/>
      <c r="AC50" s="216"/>
      <c r="AD50" s="217"/>
      <c r="AU50" s="51"/>
      <c r="AV50" s="93"/>
    </row>
    <row r="51" spans="3:48" s="2" customFormat="1">
      <c r="C51" s="72" t="s">
        <v>44</v>
      </c>
      <c r="D51" s="73">
        <v>150</v>
      </c>
      <c r="E51" s="77" t="s">
        <v>45</v>
      </c>
      <c r="F51" s="56" t="str">
        <f>_xlfn.XLOOKUP($C51,'Power Blocks'!$C$20:$C$31,'Power Blocks'!$D$20:$D$31,,)</f>
        <v>CPU</v>
      </c>
      <c r="G51" s="141">
        <f>IF(F51=" "," ",D51/_xlfn.XLOOKUP($C51,'Power Blocks'!$C$20:$C$31,'Power Blocks'!$I$20:$I$31,,))</f>
        <v>1.875</v>
      </c>
      <c r="H51" s="58">
        <f>IF(F51=" "," ",_xlfn.XLOOKUP($C51,'Power Blocks'!$C$20:$C$31,'Power Blocks'!$J$20:$J$31,,)*$G51)</f>
        <v>0.1875</v>
      </c>
      <c r="I51" s="108">
        <f>IF(F51=" "," ",_xlfn.XLOOKUP($C51,'Power Blocks'!$C$20:$C$31,'Power Blocks'!$K$20:$K$31,,)/1000*$G51)</f>
        <v>2250</v>
      </c>
      <c r="J51" s="110">
        <f>IF(F51=" "," ",_xlfn.XLOOKUP($C51,'Power Blocks'!$C$20:$C$31,'Power Blocks'!$M$20:$M$31,,)*$G51)</f>
        <v>38400</v>
      </c>
      <c r="K51" s="52">
        <f t="shared" ref="K51:W51" si="17">$H51</f>
        <v>0.1875</v>
      </c>
      <c r="L51" s="52">
        <f t="shared" si="17"/>
        <v>0.1875</v>
      </c>
      <c r="M51" s="52">
        <f t="shared" si="17"/>
        <v>0.1875</v>
      </c>
      <c r="N51" s="52">
        <f t="shared" si="17"/>
        <v>0.1875</v>
      </c>
      <c r="O51" s="52">
        <f t="shared" si="17"/>
        <v>0.1875</v>
      </c>
      <c r="P51" s="52">
        <f t="shared" si="17"/>
        <v>0.1875</v>
      </c>
      <c r="Q51" s="52">
        <f t="shared" si="17"/>
        <v>0.1875</v>
      </c>
      <c r="R51" s="52">
        <f t="shared" si="17"/>
        <v>0.1875</v>
      </c>
      <c r="S51" s="52">
        <f t="shared" si="17"/>
        <v>0.1875</v>
      </c>
      <c r="T51" s="52">
        <f t="shared" si="17"/>
        <v>0.1875</v>
      </c>
      <c r="U51" s="52">
        <f t="shared" si="17"/>
        <v>0.1875</v>
      </c>
      <c r="V51" s="52">
        <f t="shared" si="17"/>
        <v>0.1875</v>
      </c>
      <c r="W51" s="52">
        <f t="shared" si="17"/>
        <v>0.1875</v>
      </c>
      <c r="X51" s="52"/>
      <c r="Y51" s="52"/>
      <c r="Z51" s="52"/>
      <c r="AA51" s="52"/>
      <c r="AB51" s="52"/>
      <c r="AC51" s="52"/>
      <c r="AD51" s="52"/>
      <c r="AU51" s="51"/>
      <c r="AV51" s="93"/>
    </row>
    <row r="52" spans="3:48" ht="14.45" customHeight="1">
      <c r="C52" s="72" t="s">
        <v>46</v>
      </c>
      <c r="D52" s="73">
        <v>375</v>
      </c>
      <c r="E52" s="77" t="s">
        <v>47</v>
      </c>
      <c r="F52" s="56" t="str">
        <f>_xlfn.XLOOKUP($C52,'Power Blocks'!$C$20:$C$31,'Power Blocks'!$D$20:$D$31,,)</f>
        <v>CPU</v>
      </c>
      <c r="G52" s="141">
        <f>IF(F52=" "," ",D52/_xlfn.XLOOKUP($C52,'Power Blocks'!$C$20:$C$31,'Power Blocks'!$I$20:$I$31,,))</f>
        <v>3.75</v>
      </c>
      <c r="H52" s="58">
        <f>IF(F52=" "," ",_xlfn.XLOOKUP($C52,'Power Blocks'!$C$20:$C$31,'Power Blocks'!$J$20:$J$31,,)*$G52)</f>
        <v>0.375</v>
      </c>
      <c r="I52" s="108">
        <f>IF(F52=" "," ",_xlfn.XLOOKUP($C52,'Power Blocks'!$C$20:$C$31,'Power Blocks'!$K$20:$K$31,,)/1000*$G52)</f>
        <v>3750</v>
      </c>
      <c r="J52" s="110">
        <f>IF(F52=" "," ",_xlfn.XLOOKUP($C52,'Power Blocks'!$C$20:$C$31,'Power Blocks'!$M$20:$M$31,,)*$G52)</f>
        <v>48000</v>
      </c>
      <c r="K52" s="75">
        <f t="shared" ref="K52:W55" si="18">$H52</f>
        <v>0.375</v>
      </c>
      <c r="L52" s="75">
        <f t="shared" si="18"/>
        <v>0.375</v>
      </c>
      <c r="M52" s="75">
        <f t="shared" si="18"/>
        <v>0.375</v>
      </c>
      <c r="N52" s="75">
        <f t="shared" si="18"/>
        <v>0.375</v>
      </c>
      <c r="O52" s="75">
        <f t="shared" ref="O52:P52" si="19">$H52</f>
        <v>0.375</v>
      </c>
      <c r="P52" s="75">
        <f t="shared" si="19"/>
        <v>0.375</v>
      </c>
      <c r="Q52" s="75">
        <f t="shared" ref="Q52:W52" si="20">$H52</f>
        <v>0.375</v>
      </c>
      <c r="R52" s="75">
        <f t="shared" si="20"/>
        <v>0.375</v>
      </c>
      <c r="S52" s="75">
        <f t="shared" si="20"/>
        <v>0.375</v>
      </c>
      <c r="T52" s="75">
        <f t="shared" si="20"/>
        <v>0.375</v>
      </c>
      <c r="U52" s="75">
        <f t="shared" si="20"/>
        <v>0.375</v>
      </c>
      <c r="V52" s="75">
        <f t="shared" si="20"/>
        <v>0.375</v>
      </c>
      <c r="W52" s="75">
        <f t="shared" si="20"/>
        <v>0.375</v>
      </c>
      <c r="X52" s="75"/>
      <c r="Y52" s="75"/>
      <c r="Z52" s="75"/>
      <c r="AA52" s="75"/>
      <c r="AB52" s="75"/>
      <c r="AC52" s="75"/>
      <c r="AD52" s="75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3:48" ht="14.45" customHeight="1">
      <c r="C53" s="72" t="s">
        <v>48</v>
      </c>
      <c r="D53" s="73">
        <v>31</v>
      </c>
      <c r="E53" s="77" t="s">
        <v>49</v>
      </c>
      <c r="F53" s="56" t="str">
        <f>_xlfn.XLOOKUP($C53,'Power Blocks'!$C$20:$C$31,'Power Blocks'!$D$20:$D$31,,)</f>
        <v>GPU</v>
      </c>
      <c r="G53" s="141">
        <f>IF(F53=" "," ",D53/_xlfn.XLOOKUP($C53,'Power Blocks'!$C$20:$C$31,'Power Blocks'!$I$20:$I$31,,))</f>
        <v>1.55</v>
      </c>
      <c r="H53" s="58">
        <f>IF(F53=" "," ",_xlfn.XLOOKUP($C53,'Power Blocks'!$C$20:$C$31,'Power Blocks'!$J$20:$J$31,,)*$G53)</f>
        <v>0.15500000000000003</v>
      </c>
      <c r="I53" s="108">
        <f>IF(F53=" "," ",_xlfn.XLOOKUP($C53,'Power Blocks'!$C$20:$C$31,'Power Blocks'!$K$20:$K$31,,)/1000*$G53)</f>
        <v>620</v>
      </c>
      <c r="J53" s="110">
        <f>IF(F53=" "," ",_xlfn.XLOOKUP($C53,'Power Blocks'!$C$20:$C$31,'Power Blocks'!$M$20:$M$31,,)*$G53)</f>
        <v>124</v>
      </c>
      <c r="K53" s="52">
        <f t="shared" si="18"/>
        <v>0.15500000000000003</v>
      </c>
      <c r="L53" s="52">
        <f t="shared" si="18"/>
        <v>0.15500000000000003</v>
      </c>
      <c r="M53" s="52">
        <f t="shared" si="18"/>
        <v>0.15500000000000003</v>
      </c>
      <c r="N53" s="52">
        <f t="shared" si="18"/>
        <v>0.15500000000000003</v>
      </c>
      <c r="O53" s="52">
        <f t="shared" si="18"/>
        <v>0.15500000000000003</v>
      </c>
      <c r="P53" s="52">
        <f t="shared" si="18"/>
        <v>0.15500000000000003</v>
      </c>
      <c r="Q53" s="52">
        <f t="shared" si="18"/>
        <v>0.15500000000000003</v>
      </c>
      <c r="R53" s="52">
        <f t="shared" si="18"/>
        <v>0.15500000000000003</v>
      </c>
      <c r="S53" s="52">
        <f t="shared" si="18"/>
        <v>0.15500000000000003</v>
      </c>
      <c r="T53" s="52">
        <f t="shared" si="18"/>
        <v>0.15500000000000003</v>
      </c>
      <c r="U53" s="52">
        <f t="shared" si="18"/>
        <v>0.15500000000000003</v>
      </c>
      <c r="V53" s="52">
        <f t="shared" si="18"/>
        <v>0.15500000000000003</v>
      </c>
      <c r="W53" s="52">
        <f t="shared" si="18"/>
        <v>0.15500000000000003</v>
      </c>
      <c r="X53" s="52"/>
      <c r="Y53" s="52"/>
      <c r="Z53" s="52"/>
      <c r="AA53" s="52"/>
      <c r="AB53" s="52"/>
      <c r="AC53" s="52"/>
      <c r="AD53" s="52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3:48" ht="14.45" customHeight="1">
      <c r="C54" s="72" t="s">
        <v>50</v>
      </c>
      <c r="D54" s="73">
        <v>30</v>
      </c>
      <c r="E54" s="77" t="s">
        <v>49</v>
      </c>
      <c r="F54" s="56" t="str">
        <f>_xlfn.XLOOKUP($C54,'Power Blocks'!$C$20:$C$31,'Power Blocks'!$D$20:$D$31,,)</f>
        <v>Hdisk</v>
      </c>
      <c r="G54" s="141">
        <f>IF(F54=" "," ",D54/_xlfn.XLOOKUP($C54,'Power Blocks'!$C$20:$C$31,'Power Blocks'!$I$20:$I$31,,))</f>
        <v>0.21428571428571427</v>
      </c>
      <c r="H54" s="58">
        <f>IF(F54=" "," ",_xlfn.XLOOKUP($C54,'Power Blocks'!$C$20:$C$31,'Power Blocks'!$J$20:$J$31,,)*$G54)</f>
        <v>2.1428571428571429E-2</v>
      </c>
      <c r="I54" s="108">
        <f>IF(F54=" "," ",_xlfn.XLOOKUP($C54,'Power Blocks'!$C$20:$C$31,'Power Blocks'!$K$20:$K$31,,)/1000*$G54)</f>
        <v>857.13</v>
      </c>
      <c r="J54" s="110">
        <f>IF(F54=" "," ",_xlfn.XLOOKUP($C54,'Power Blocks'!$C$20:$C$31,'Power Blocks'!$M$20:$M$31,,)*$G54)</f>
        <v>15.9</v>
      </c>
      <c r="K54" s="52">
        <f t="shared" si="18"/>
        <v>2.1428571428571429E-2</v>
      </c>
      <c r="L54" s="52">
        <f t="shared" si="18"/>
        <v>2.1428571428571429E-2</v>
      </c>
      <c r="M54" s="52">
        <f t="shared" si="18"/>
        <v>2.1428571428571429E-2</v>
      </c>
      <c r="N54" s="52">
        <f t="shared" si="18"/>
        <v>2.1428571428571429E-2</v>
      </c>
      <c r="O54" s="52">
        <f t="shared" si="18"/>
        <v>2.1428571428571429E-2</v>
      </c>
      <c r="P54" s="52">
        <f t="shared" si="18"/>
        <v>2.1428571428571429E-2</v>
      </c>
      <c r="Q54" s="52">
        <f t="shared" si="18"/>
        <v>2.1428571428571429E-2</v>
      </c>
      <c r="R54" s="52">
        <f t="shared" si="18"/>
        <v>2.1428571428571429E-2</v>
      </c>
      <c r="S54" s="52">
        <f t="shared" si="18"/>
        <v>2.1428571428571429E-2</v>
      </c>
      <c r="T54" s="52">
        <f t="shared" si="18"/>
        <v>2.1428571428571429E-2</v>
      </c>
      <c r="U54" s="52">
        <f t="shared" si="18"/>
        <v>2.1428571428571429E-2</v>
      </c>
      <c r="V54" s="52">
        <f t="shared" si="18"/>
        <v>2.1428571428571429E-2</v>
      </c>
      <c r="W54" s="52">
        <f t="shared" si="18"/>
        <v>2.1428571428571429E-2</v>
      </c>
      <c r="X54" s="52"/>
      <c r="Y54" s="52"/>
      <c r="Z54" s="52"/>
      <c r="AA54" s="52"/>
      <c r="AB54" s="52"/>
      <c r="AC54" s="52"/>
      <c r="AD54" s="52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3:48" ht="14.45" customHeight="1">
      <c r="C55" s="72" t="s">
        <v>51</v>
      </c>
      <c r="D55" s="73">
        <v>4</v>
      </c>
      <c r="E55" s="77" t="s">
        <v>49</v>
      </c>
      <c r="F55" s="56" t="str">
        <f>_xlfn.XLOOKUP($C55,'Power Blocks'!$C$20:$C$31,'Power Blocks'!$D$20:$D$31,,)</f>
        <v>Sdisk</v>
      </c>
      <c r="G55" s="141">
        <f>IF(F55=" "," ",D55/_xlfn.XLOOKUP($C55,'Power Blocks'!$C$20:$C$31,'Power Blocks'!$I$20:$I$31,,))</f>
        <v>3.2000000000000001E-2</v>
      </c>
      <c r="H55" s="58">
        <f>IF(F55=" "," ",_xlfn.XLOOKUP($C55,'Power Blocks'!$C$20:$C$31,'Power Blocks'!$J$20:$J$31,,)*$G55)</f>
        <v>3.2000000000000002E-3</v>
      </c>
      <c r="I55" s="108">
        <f>IF(F55=" "," ",_xlfn.XLOOKUP($C55,'Power Blocks'!$C$20:$C$31,'Power Blocks'!$K$20:$K$31,,)/1000*$G55)</f>
        <v>168</v>
      </c>
      <c r="J55" s="110">
        <f>IF(F55=" "," ",_xlfn.XLOOKUP($C55,'Power Blocks'!$C$20:$C$31,'Power Blocks'!$M$20:$M$31,,)*$G55)</f>
        <v>1.2</v>
      </c>
      <c r="K55" s="52">
        <f t="shared" si="18"/>
        <v>3.2000000000000002E-3</v>
      </c>
      <c r="L55" s="52">
        <f t="shared" si="18"/>
        <v>3.2000000000000002E-3</v>
      </c>
      <c r="M55" s="52">
        <f t="shared" si="18"/>
        <v>3.2000000000000002E-3</v>
      </c>
      <c r="N55" s="52">
        <f t="shared" si="18"/>
        <v>3.2000000000000002E-3</v>
      </c>
      <c r="O55" s="52">
        <f t="shared" si="18"/>
        <v>3.2000000000000002E-3</v>
      </c>
      <c r="P55" s="52">
        <f t="shared" si="18"/>
        <v>3.2000000000000002E-3</v>
      </c>
      <c r="Q55" s="52">
        <f t="shared" si="18"/>
        <v>3.2000000000000002E-3</v>
      </c>
      <c r="R55" s="52">
        <f t="shared" si="18"/>
        <v>3.2000000000000002E-3</v>
      </c>
      <c r="S55" s="52">
        <f t="shared" si="18"/>
        <v>3.2000000000000002E-3</v>
      </c>
      <c r="T55" s="52">
        <f t="shared" si="18"/>
        <v>3.2000000000000002E-3</v>
      </c>
      <c r="U55" s="52">
        <f t="shared" si="18"/>
        <v>3.2000000000000002E-3</v>
      </c>
      <c r="V55" s="52">
        <f t="shared" si="18"/>
        <v>3.2000000000000002E-3</v>
      </c>
      <c r="W55" s="52">
        <f t="shared" si="18"/>
        <v>3.2000000000000002E-3</v>
      </c>
      <c r="X55" s="52"/>
      <c r="Y55" s="10"/>
      <c r="Z55" s="10"/>
      <c r="AA55" s="10"/>
      <c r="AB55" s="10"/>
      <c r="AC55" s="10"/>
      <c r="AD55" s="10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3:48" ht="14.45" customHeight="1">
      <c r="C56" s="72" t="s">
        <v>52</v>
      </c>
      <c r="D56" s="73">
        <v>4</v>
      </c>
      <c r="E56" s="77" t="s">
        <v>49</v>
      </c>
      <c r="F56" s="56" t="str">
        <f>_xlfn.XLOOKUP($C56,'Power Blocks'!$C$20:$C$31,'Power Blocks'!$D$20:$D$31,,)</f>
        <v>GPU</v>
      </c>
      <c r="G56" s="141">
        <f>IF(F56=" "," ",D56/_xlfn.XLOOKUP($C56,'Power Blocks'!$C$20:$C$31,'Power Blocks'!$I$20:$I$31,,))</f>
        <v>0.2</v>
      </c>
      <c r="H56" s="58">
        <f>IF(F56=" "," ",_xlfn.XLOOKUP($C56,'Power Blocks'!$C$20:$C$31,'Power Blocks'!$J$20:$J$31,,)*$G56)</f>
        <v>2.0000000000000004E-2</v>
      </c>
      <c r="I56" s="108">
        <f>IF(F56=" "," ",_xlfn.XLOOKUP($C56,'Power Blocks'!$C$20:$C$31,'Power Blocks'!$K$20:$K$31,,)/1000*$G56)</f>
        <v>245.20000000000002</v>
      </c>
      <c r="J56" s="110">
        <f>IF(F56=" "," ",_xlfn.XLOOKUP($C56,'Power Blocks'!$C$20:$C$31,'Power Blocks'!$M$20:$M$31,,)*$G56)</f>
        <v>32</v>
      </c>
      <c r="K56" s="52">
        <f t="shared" ref="K56:AA63" si="21">$H56</f>
        <v>2.0000000000000004E-2</v>
      </c>
      <c r="L56" s="52">
        <f t="shared" si="21"/>
        <v>2.0000000000000004E-2</v>
      </c>
      <c r="M56" s="52">
        <f t="shared" si="21"/>
        <v>2.0000000000000004E-2</v>
      </c>
      <c r="N56" s="52">
        <f t="shared" si="21"/>
        <v>2.0000000000000004E-2</v>
      </c>
      <c r="O56" s="52">
        <f t="shared" si="21"/>
        <v>2.0000000000000004E-2</v>
      </c>
      <c r="P56" s="52">
        <f t="shared" si="21"/>
        <v>2.0000000000000004E-2</v>
      </c>
      <c r="Q56" s="52">
        <f t="shared" ref="Q56:W56" si="22">$H56</f>
        <v>2.0000000000000004E-2</v>
      </c>
      <c r="R56" s="52">
        <f t="shared" si="22"/>
        <v>2.0000000000000004E-2</v>
      </c>
      <c r="S56" s="52">
        <f t="shared" si="22"/>
        <v>2.0000000000000004E-2</v>
      </c>
      <c r="T56" s="52">
        <f t="shared" si="22"/>
        <v>2.0000000000000004E-2</v>
      </c>
      <c r="U56" s="52">
        <f t="shared" si="22"/>
        <v>2.0000000000000004E-2</v>
      </c>
      <c r="V56" s="52">
        <f t="shared" si="22"/>
        <v>2.0000000000000004E-2</v>
      </c>
      <c r="W56" s="52">
        <f t="shared" si="22"/>
        <v>2.0000000000000004E-2</v>
      </c>
      <c r="X56" s="52"/>
      <c r="Y56" s="52"/>
      <c r="Z56" s="52"/>
      <c r="AA56" s="52"/>
      <c r="AB56" s="52"/>
      <c r="AC56" s="52"/>
      <c r="AD56" s="52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3:48">
      <c r="C57" s="72" t="s">
        <v>53</v>
      </c>
      <c r="D57" s="73">
        <v>15</v>
      </c>
      <c r="E57" s="77" t="s">
        <v>54</v>
      </c>
      <c r="F57" s="56" t="str">
        <f>_xlfn.XLOOKUP($C57,'Power Blocks'!$C$20:$C$31,'Power Blocks'!$D$20:$D$31,,)</f>
        <v>GPU</v>
      </c>
      <c r="G57" s="141">
        <f>IF(F57=" "," ",D57/_xlfn.XLOOKUP($C57,'Power Blocks'!$C$20:$C$31,'Power Blocks'!$I$20:$I$31,,))</f>
        <v>1.5</v>
      </c>
      <c r="H57" s="58">
        <f>IF(F57=" "," ",_xlfn.XLOOKUP($C57,'Power Blocks'!$C$20:$C$31,'Power Blocks'!$J$20:$J$31,,)*$G57)</f>
        <v>0.15000000000000002</v>
      </c>
      <c r="I57" s="108">
        <f>IF(F57=" "," ",_xlfn.XLOOKUP($C57,'Power Blocks'!$C$20:$C$31,'Power Blocks'!$K$20:$K$31,,)/1000*$G57)</f>
        <v>1680</v>
      </c>
      <c r="J57" s="110">
        <f>IF(F57=" "," ",_xlfn.XLOOKUP($C57,'Power Blocks'!$C$20:$C$31,'Power Blocks'!$M$20:$M$31,,)*$G57)</f>
        <v>120</v>
      </c>
      <c r="K57" s="52">
        <f t="shared" si="21"/>
        <v>0.15000000000000002</v>
      </c>
      <c r="L57" s="52">
        <f t="shared" si="21"/>
        <v>0.15000000000000002</v>
      </c>
      <c r="M57" s="52">
        <f t="shared" si="21"/>
        <v>0.15000000000000002</v>
      </c>
      <c r="N57" s="52">
        <f t="shared" si="21"/>
        <v>0.15000000000000002</v>
      </c>
      <c r="O57" s="52">
        <f t="shared" si="21"/>
        <v>0.15000000000000002</v>
      </c>
      <c r="P57" s="52">
        <f t="shared" si="21"/>
        <v>0.15000000000000002</v>
      </c>
      <c r="Q57" s="52">
        <f t="shared" si="21"/>
        <v>0.15000000000000002</v>
      </c>
      <c r="R57" s="52">
        <f t="shared" si="21"/>
        <v>0.15000000000000002</v>
      </c>
      <c r="S57" s="52">
        <f t="shared" si="21"/>
        <v>0.15000000000000002</v>
      </c>
      <c r="T57" s="52">
        <f t="shared" si="21"/>
        <v>0.15000000000000002</v>
      </c>
      <c r="U57" s="52">
        <f t="shared" si="21"/>
        <v>0.15000000000000002</v>
      </c>
      <c r="V57" s="52">
        <f t="shared" si="21"/>
        <v>0.15000000000000002</v>
      </c>
      <c r="W57" s="52">
        <f t="shared" si="21"/>
        <v>0.15000000000000002</v>
      </c>
      <c r="X57" s="52">
        <f t="shared" si="21"/>
        <v>0.15000000000000002</v>
      </c>
      <c r="Y57" s="52">
        <f t="shared" si="21"/>
        <v>0.15000000000000002</v>
      </c>
      <c r="Z57" s="52">
        <f t="shared" si="21"/>
        <v>0.15000000000000002</v>
      </c>
      <c r="AA57" s="52">
        <f t="shared" si="21"/>
        <v>0.15000000000000002</v>
      </c>
      <c r="AB57" s="52">
        <f t="shared" ref="AB57:AD57" si="23">$H57</f>
        <v>0.15000000000000002</v>
      </c>
      <c r="AC57" s="52">
        <f t="shared" si="23"/>
        <v>0.15000000000000002</v>
      </c>
      <c r="AD57" s="52">
        <f t="shared" si="23"/>
        <v>0.15000000000000002</v>
      </c>
    </row>
    <row r="58" spans="3:48" ht="14.45" customHeight="1">
      <c r="C58" s="72" t="s">
        <v>55</v>
      </c>
      <c r="D58" s="73">
        <v>32</v>
      </c>
      <c r="E58" s="77" t="s">
        <v>54</v>
      </c>
      <c r="F58" s="56" t="str">
        <f>_xlfn.XLOOKUP($C58,'Power Blocks'!$C$20:$C$31,'Power Blocks'!$D$20:$D$31,,)</f>
        <v>GPU</v>
      </c>
      <c r="G58" s="141">
        <f>IF(F58=" "," ",D58/_xlfn.XLOOKUP($C58,'Power Blocks'!$C$20:$C$31,'Power Blocks'!$I$20:$I$31,,))</f>
        <v>2</v>
      </c>
      <c r="H58" s="58">
        <f>IF(F58=" "," ",_xlfn.XLOOKUP($C58,'Power Blocks'!$C$20:$C$31,'Power Blocks'!$J$20:$J$31,,)*$G58)</f>
        <v>0.2</v>
      </c>
      <c r="I58" s="108">
        <f>IF(F58=" "," ",_xlfn.XLOOKUP($C58,'Power Blocks'!$C$20:$C$31,'Power Blocks'!$K$20:$K$31,,)/1000*$G58)</f>
        <v>3424</v>
      </c>
      <c r="J58" s="110">
        <f>IF(F58=" "," ",_xlfn.XLOOKUP($C58,'Power Blocks'!$C$20:$C$31,'Power Blocks'!$M$20:$M$31,,)*$G58)</f>
        <v>128</v>
      </c>
      <c r="K58" s="52"/>
      <c r="L58" s="52"/>
      <c r="M58" s="52"/>
      <c r="N58" s="52">
        <f t="shared" si="21"/>
        <v>0.2</v>
      </c>
      <c r="O58" s="52">
        <f t="shared" si="21"/>
        <v>0.2</v>
      </c>
      <c r="P58" s="52">
        <f t="shared" si="21"/>
        <v>0.2</v>
      </c>
      <c r="Q58" s="52">
        <f t="shared" si="21"/>
        <v>0.2</v>
      </c>
      <c r="R58" s="52">
        <f t="shared" si="21"/>
        <v>0.2</v>
      </c>
      <c r="S58" s="52">
        <f t="shared" si="21"/>
        <v>0.2</v>
      </c>
      <c r="T58" s="52">
        <f t="shared" si="21"/>
        <v>0.2</v>
      </c>
      <c r="U58" s="52">
        <f t="shared" si="21"/>
        <v>0.2</v>
      </c>
      <c r="V58" s="52">
        <f t="shared" si="21"/>
        <v>0.2</v>
      </c>
      <c r="W58" s="52">
        <f t="shared" si="21"/>
        <v>0.2</v>
      </c>
      <c r="X58" s="52">
        <f t="shared" si="21"/>
        <v>0.2</v>
      </c>
      <c r="Y58" s="52">
        <f t="shared" si="21"/>
        <v>0.2</v>
      </c>
      <c r="Z58" s="52">
        <f t="shared" si="21"/>
        <v>0.2</v>
      </c>
      <c r="AA58" s="52">
        <f t="shared" ref="AA58:AB59" si="24">$H58</f>
        <v>0.2</v>
      </c>
      <c r="AB58" s="52">
        <f t="shared" si="24"/>
        <v>0.2</v>
      </c>
      <c r="AC58" s="52"/>
      <c r="AD58" s="52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3:48" ht="14.45" customHeight="1">
      <c r="C59" s="72" t="s">
        <v>52</v>
      </c>
      <c r="D59" s="73">
        <v>8</v>
      </c>
      <c r="E59" s="77" t="s">
        <v>54</v>
      </c>
      <c r="F59" s="56" t="str">
        <f>_xlfn.XLOOKUP($C59,'Power Blocks'!$C$20:$C$31,'Power Blocks'!$D$20:$D$31,,)</f>
        <v>GPU</v>
      </c>
      <c r="G59" s="141">
        <f>IF(F59=" "," ",D59/_xlfn.XLOOKUP($C59,'Power Blocks'!$C$20:$C$31,'Power Blocks'!$I$20:$I$31,,))</f>
        <v>0.4</v>
      </c>
      <c r="H59" s="58">
        <f>IF(F59=" "," ",_xlfn.XLOOKUP($C59,'Power Blocks'!$C$20:$C$31,'Power Blocks'!$J$20:$J$31,,)*$G59)</f>
        <v>4.0000000000000008E-2</v>
      </c>
      <c r="I59" s="108">
        <f>IF(F59=" "," ",_xlfn.XLOOKUP($C59,'Power Blocks'!$C$20:$C$31,'Power Blocks'!$K$20:$K$31,,)/1000*$G59)</f>
        <v>490.40000000000003</v>
      </c>
      <c r="J59" s="110">
        <f>IF(F59=" "," ",_xlfn.XLOOKUP($C59,'Power Blocks'!$C$20:$C$31,'Power Blocks'!$M$20:$M$31,,)*$G59)</f>
        <v>64</v>
      </c>
      <c r="K59" s="52"/>
      <c r="L59" s="52"/>
      <c r="M59" s="52"/>
      <c r="N59" s="52">
        <f t="shared" si="21"/>
        <v>4.0000000000000008E-2</v>
      </c>
      <c r="O59" s="52">
        <f t="shared" si="21"/>
        <v>4.0000000000000008E-2</v>
      </c>
      <c r="P59" s="52">
        <f t="shared" si="21"/>
        <v>4.0000000000000008E-2</v>
      </c>
      <c r="Q59" s="52">
        <f t="shared" si="21"/>
        <v>4.0000000000000008E-2</v>
      </c>
      <c r="R59" s="52">
        <f t="shared" si="21"/>
        <v>4.0000000000000008E-2</v>
      </c>
      <c r="S59" s="52">
        <f t="shared" si="21"/>
        <v>4.0000000000000008E-2</v>
      </c>
      <c r="T59" s="52">
        <f t="shared" si="21"/>
        <v>4.0000000000000008E-2</v>
      </c>
      <c r="U59" s="52">
        <f t="shared" si="21"/>
        <v>4.0000000000000008E-2</v>
      </c>
      <c r="V59" s="52">
        <f t="shared" si="21"/>
        <v>4.0000000000000008E-2</v>
      </c>
      <c r="W59" s="52">
        <f t="shared" si="21"/>
        <v>4.0000000000000008E-2</v>
      </c>
      <c r="X59" s="52">
        <f t="shared" si="21"/>
        <v>4.0000000000000008E-2</v>
      </c>
      <c r="Y59" s="52">
        <f t="shared" si="21"/>
        <v>4.0000000000000008E-2</v>
      </c>
      <c r="Z59" s="52">
        <f t="shared" si="21"/>
        <v>4.0000000000000008E-2</v>
      </c>
      <c r="AA59" s="52">
        <f t="shared" si="24"/>
        <v>4.0000000000000008E-2</v>
      </c>
      <c r="AB59" s="52">
        <f t="shared" si="24"/>
        <v>4.0000000000000008E-2</v>
      </c>
      <c r="AC59" s="52"/>
      <c r="AD59" s="52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3:48" ht="14.45" customHeight="1">
      <c r="C60" s="72" t="s">
        <v>46</v>
      </c>
      <c r="D60" s="73">
        <v>80</v>
      </c>
      <c r="E60" s="77" t="s">
        <v>54</v>
      </c>
      <c r="F60" s="56" t="str">
        <f>_xlfn.XLOOKUP($C60,'Power Blocks'!$C$20:$C$31,'Power Blocks'!$D$20:$D$31,,)</f>
        <v>CPU</v>
      </c>
      <c r="G60" s="141">
        <f>IF(F60=" "," ",D60/_xlfn.XLOOKUP($C60,'Power Blocks'!$C$20:$C$31,'Power Blocks'!$I$20:$I$31,,))</f>
        <v>0.8</v>
      </c>
      <c r="H60" s="58">
        <f>IF(F60=" "," ",_xlfn.XLOOKUP($C60,'Power Blocks'!$C$20:$C$31,'Power Blocks'!$J$20:$J$31,,)*$G60)</f>
        <v>8.0000000000000016E-2</v>
      </c>
      <c r="I60" s="108">
        <f>IF(F60=" "," ",_xlfn.XLOOKUP($C60,'Power Blocks'!$C$20:$C$31,'Power Blocks'!$K$20:$K$31,,)/1000*$G60)</f>
        <v>800</v>
      </c>
      <c r="J60" s="110">
        <f>IF(F60=" "," ",_xlfn.XLOOKUP($C60,'Power Blocks'!$C$20:$C$31,'Power Blocks'!$M$20:$M$31,,)*$G60)</f>
        <v>10240</v>
      </c>
      <c r="K60" s="10"/>
      <c r="L60" s="10"/>
      <c r="M60" s="10"/>
      <c r="N60" s="52">
        <f t="shared" si="21"/>
        <v>8.0000000000000016E-2</v>
      </c>
      <c r="O60" s="52">
        <f t="shared" si="21"/>
        <v>8.0000000000000016E-2</v>
      </c>
      <c r="P60" s="52">
        <f t="shared" si="21"/>
        <v>8.0000000000000016E-2</v>
      </c>
      <c r="Q60" s="52">
        <f t="shared" si="21"/>
        <v>8.0000000000000016E-2</v>
      </c>
      <c r="R60" s="52">
        <f t="shared" si="21"/>
        <v>8.0000000000000016E-2</v>
      </c>
      <c r="S60" s="52">
        <f t="shared" si="21"/>
        <v>8.0000000000000016E-2</v>
      </c>
      <c r="T60" s="52">
        <f t="shared" si="21"/>
        <v>8.0000000000000016E-2</v>
      </c>
      <c r="U60" s="52">
        <f t="shared" si="21"/>
        <v>8.0000000000000016E-2</v>
      </c>
      <c r="V60" s="52">
        <f t="shared" si="21"/>
        <v>8.0000000000000016E-2</v>
      </c>
      <c r="W60" s="52">
        <f t="shared" si="21"/>
        <v>8.0000000000000016E-2</v>
      </c>
      <c r="X60" s="52">
        <f t="shared" si="21"/>
        <v>8.0000000000000016E-2</v>
      </c>
      <c r="Y60" s="52">
        <f t="shared" si="21"/>
        <v>8.0000000000000016E-2</v>
      </c>
      <c r="Z60" s="52">
        <f t="shared" si="21"/>
        <v>8.0000000000000016E-2</v>
      </c>
      <c r="AA60" s="52">
        <f t="shared" ref="AA60:AD62" si="25">$H60</f>
        <v>8.0000000000000016E-2</v>
      </c>
      <c r="AB60" s="52">
        <f t="shared" si="25"/>
        <v>8.0000000000000016E-2</v>
      </c>
      <c r="AC60" s="10"/>
      <c r="AD60" s="10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3:48" ht="14.45" customHeight="1">
      <c r="C61" s="72" t="s">
        <v>50</v>
      </c>
      <c r="D61" s="73">
        <v>6</v>
      </c>
      <c r="E61" s="77" t="s">
        <v>54</v>
      </c>
      <c r="F61" s="56" t="str">
        <f>_xlfn.XLOOKUP($C61,'Power Blocks'!$C$20:$C$31,'Power Blocks'!$D$20:$D$31,,)</f>
        <v>Hdisk</v>
      </c>
      <c r="G61" s="141">
        <f>IF(F61=" "," ",D61/_xlfn.XLOOKUP($C61,'Power Blocks'!$C$20:$C$31,'Power Blocks'!$I$20:$I$31,,))</f>
        <v>4.2857142857142858E-2</v>
      </c>
      <c r="H61" s="58">
        <f>IF(F61=" "," ",_xlfn.XLOOKUP($C61,'Power Blocks'!$C$20:$C$31,'Power Blocks'!$J$20:$J$31,,)*$G61)</f>
        <v>4.2857142857142859E-3</v>
      </c>
      <c r="I61" s="108">
        <f>IF(F61=" "," ",_xlfn.XLOOKUP($C61,'Power Blocks'!$C$20:$C$31,'Power Blocks'!$K$20:$K$31,,)/1000*$G61)</f>
        <v>171.42600000000002</v>
      </c>
      <c r="J61" s="110">
        <f>IF(F61=" "," ",_xlfn.XLOOKUP($C61,'Power Blocks'!$C$20:$C$31,'Power Blocks'!$M$20:$M$31,,)*$G61)</f>
        <v>3.18</v>
      </c>
      <c r="K61" s="3"/>
      <c r="L61" s="3"/>
      <c r="M61" s="3"/>
      <c r="N61" s="52">
        <f t="shared" si="21"/>
        <v>4.2857142857142859E-3</v>
      </c>
      <c r="O61" s="52">
        <f t="shared" si="21"/>
        <v>4.2857142857142859E-3</v>
      </c>
      <c r="P61" s="52">
        <f t="shared" si="21"/>
        <v>4.2857142857142859E-3</v>
      </c>
      <c r="Q61" s="52">
        <f t="shared" si="21"/>
        <v>4.2857142857142859E-3</v>
      </c>
      <c r="R61" s="52">
        <f t="shared" si="21"/>
        <v>4.2857142857142859E-3</v>
      </c>
      <c r="S61" s="52">
        <f t="shared" si="21"/>
        <v>4.2857142857142859E-3</v>
      </c>
      <c r="T61" s="52">
        <f t="shared" si="21"/>
        <v>4.2857142857142859E-3</v>
      </c>
      <c r="U61" s="52">
        <f t="shared" si="21"/>
        <v>4.2857142857142859E-3</v>
      </c>
      <c r="V61" s="52">
        <f t="shared" si="21"/>
        <v>4.2857142857142859E-3</v>
      </c>
      <c r="W61" s="52">
        <f t="shared" si="21"/>
        <v>4.2857142857142859E-3</v>
      </c>
      <c r="X61" s="52">
        <f t="shared" si="21"/>
        <v>4.2857142857142859E-3</v>
      </c>
      <c r="Y61" s="52">
        <f t="shared" si="21"/>
        <v>4.2857142857142859E-3</v>
      </c>
      <c r="Z61" s="52">
        <f t="shared" si="21"/>
        <v>4.2857142857142859E-3</v>
      </c>
      <c r="AA61" s="52">
        <f t="shared" si="25"/>
        <v>4.2857142857142859E-3</v>
      </c>
      <c r="AB61" s="52">
        <f t="shared" si="25"/>
        <v>4.2857142857142859E-3</v>
      </c>
      <c r="AC61" s="52">
        <f t="shared" si="25"/>
        <v>4.2857142857142859E-3</v>
      </c>
      <c r="AD61" s="52">
        <f t="shared" si="25"/>
        <v>4.2857142857142859E-3</v>
      </c>
    </row>
    <row r="62" spans="3:48" ht="14.45" customHeight="1">
      <c r="C62" s="72" t="s">
        <v>51</v>
      </c>
      <c r="D62" s="181">
        <v>4.5</v>
      </c>
      <c r="E62" s="77" t="s">
        <v>54</v>
      </c>
      <c r="F62" s="56" t="str">
        <f>_xlfn.XLOOKUP($C62,'Power Blocks'!$C$20:$C$31,'Power Blocks'!$D$20:$D$31,,)</f>
        <v>Sdisk</v>
      </c>
      <c r="G62" s="141">
        <f>IF(F62=" "," ",D62/_xlfn.XLOOKUP($C62,'Power Blocks'!$C$20:$C$31,'Power Blocks'!$I$20:$I$31,,))</f>
        <v>3.5999999999999997E-2</v>
      </c>
      <c r="H62" s="58">
        <f>IF(F62=" "," ",_xlfn.XLOOKUP($C62,'Power Blocks'!$C$20:$C$31,'Power Blocks'!$J$20:$J$31,,)*$G62)</f>
        <v>3.5999999999999999E-3</v>
      </c>
      <c r="I62" s="108">
        <f>IF(F62=" "," ",_xlfn.XLOOKUP($C62,'Power Blocks'!$C$20:$C$31,'Power Blocks'!$K$20:$K$31,,)/1000*$G62)</f>
        <v>188.99999999999997</v>
      </c>
      <c r="J62" s="67">
        <f>IF(F62=" "," ",_xlfn.XLOOKUP($C62,'Power Blocks'!$C$20:$C$31,'Power Blocks'!$M$20:$M$31,,)*$G62)</f>
        <v>1.3499999999999999</v>
      </c>
      <c r="K62" s="3"/>
      <c r="L62" s="3"/>
      <c r="M62" s="3"/>
      <c r="N62" s="52">
        <f t="shared" si="21"/>
        <v>3.5999999999999999E-3</v>
      </c>
      <c r="O62" s="52">
        <f t="shared" si="21"/>
        <v>3.5999999999999999E-3</v>
      </c>
      <c r="P62" s="52">
        <f t="shared" si="21"/>
        <v>3.5999999999999999E-3</v>
      </c>
      <c r="Q62" s="52">
        <f t="shared" si="21"/>
        <v>3.5999999999999999E-3</v>
      </c>
      <c r="R62" s="52">
        <f t="shared" si="21"/>
        <v>3.5999999999999999E-3</v>
      </c>
      <c r="S62" s="52">
        <f t="shared" si="21"/>
        <v>3.5999999999999999E-3</v>
      </c>
      <c r="T62" s="52">
        <f t="shared" si="21"/>
        <v>3.5999999999999999E-3</v>
      </c>
      <c r="U62" s="52">
        <f t="shared" si="21"/>
        <v>3.5999999999999999E-3</v>
      </c>
      <c r="V62" s="52">
        <f t="shared" si="21"/>
        <v>3.5999999999999999E-3</v>
      </c>
      <c r="W62" s="52">
        <f t="shared" si="21"/>
        <v>3.5999999999999999E-3</v>
      </c>
      <c r="X62" s="52">
        <f t="shared" si="21"/>
        <v>3.5999999999999999E-3</v>
      </c>
      <c r="Y62" s="52">
        <f t="shared" si="21"/>
        <v>3.5999999999999999E-3</v>
      </c>
      <c r="Z62" s="52">
        <f t="shared" si="21"/>
        <v>3.5999999999999999E-3</v>
      </c>
      <c r="AA62" s="52">
        <f t="shared" si="25"/>
        <v>3.5999999999999999E-3</v>
      </c>
      <c r="AB62" s="52">
        <f t="shared" si="25"/>
        <v>3.5999999999999999E-3</v>
      </c>
      <c r="AC62" s="52">
        <f t="shared" si="25"/>
        <v>3.5999999999999999E-3</v>
      </c>
      <c r="AD62" s="52">
        <f t="shared" si="25"/>
        <v>3.5999999999999999E-3</v>
      </c>
    </row>
    <row r="63" spans="3:48">
      <c r="C63" s="72" t="s">
        <v>56</v>
      </c>
      <c r="D63" s="73">
        <v>8</v>
      </c>
      <c r="E63" s="77" t="s">
        <v>57</v>
      </c>
      <c r="F63" s="56" t="str">
        <f>_xlfn.XLOOKUP($C63,'Power Blocks'!$C$20:$C$31,'Power Blocks'!$D$20:$D$31,,)</f>
        <v>GPU</v>
      </c>
      <c r="G63" s="141">
        <f>IF(F63=" "," ",D63/_xlfn.XLOOKUP($C63,'Power Blocks'!$C$20:$C$31,'Power Blocks'!$I$20:$I$31,,))</f>
        <v>0.8</v>
      </c>
      <c r="H63" s="58">
        <f>IF(F63=" "," ",_xlfn.XLOOKUP($C63,'Power Blocks'!$C$20:$C$31,'Power Blocks'!$J$20:$J$31,,)*$G63)</f>
        <v>8.0000000000000016E-2</v>
      </c>
      <c r="I63" s="108">
        <f>IF(F63=" "," ",_xlfn.XLOOKUP($C63,'Power Blocks'!$C$20:$C$31,'Power Blocks'!$K$20:$K$31,,)/1000*$G63)</f>
        <v>2200</v>
      </c>
      <c r="J63" s="110">
        <f>IF(F63=" "," ",_xlfn.XLOOKUP($C63,'Power Blocks'!$C$20:$C$31,'Power Blocks'!$M$20:$M$31,,)*$G63)</f>
        <v>64</v>
      </c>
      <c r="K63" s="3"/>
      <c r="L63" s="3"/>
      <c r="M63" s="3"/>
      <c r="N63" s="3"/>
      <c r="O63" s="3"/>
      <c r="P63" s="3"/>
      <c r="Q63" s="52"/>
      <c r="R63" s="52">
        <f t="shared" si="21"/>
        <v>8.0000000000000016E-2</v>
      </c>
      <c r="S63" s="52">
        <f t="shared" si="21"/>
        <v>8.0000000000000016E-2</v>
      </c>
      <c r="T63" s="52">
        <f t="shared" si="21"/>
        <v>8.0000000000000016E-2</v>
      </c>
      <c r="U63" s="52">
        <f t="shared" si="21"/>
        <v>8.0000000000000016E-2</v>
      </c>
      <c r="V63" s="52">
        <f t="shared" si="21"/>
        <v>8.0000000000000016E-2</v>
      </c>
      <c r="W63" s="52">
        <f t="shared" si="21"/>
        <v>8.0000000000000016E-2</v>
      </c>
      <c r="X63" s="52">
        <f t="shared" si="21"/>
        <v>8.0000000000000016E-2</v>
      </c>
      <c r="Y63" s="52">
        <f t="shared" si="21"/>
        <v>8.0000000000000016E-2</v>
      </c>
      <c r="Z63" s="52">
        <f t="shared" si="21"/>
        <v>8.0000000000000016E-2</v>
      </c>
      <c r="AA63" s="52">
        <f t="shared" ref="Q63:AD71" si="26">$H63</f>
        <v>8.0000000000000016E-2</v>
      </c>
      <c r="AB63" s="52">
        <f t="shared" si="26"/>
        <v>8.0000000000000016E-2</v>
      </c>
      <c r="AC63" s="52">
        <f t="shared" si="26"/>
        <v>8.0000000000000016E-2</v>
      </c>
      <c r="AD63" s="52">
        <f t="shared" si="26"/>
        <v>8.0000000000000016E-2</v>
      </c>
    </row>
    <row r="64" spans="3:48">
      <c r="C64" s="72" t="s">
        <v>50</v>
      </c>
      <c r="D64" s="73">
        <v>16</v>
      </c>
      <c r="E64" s="77" t="s">
        <v>57</v>
      </c>
      <c r="F64" s="56" t="str">
        <f>_xlfn.XLOOKUP($C64,'Power Blocks'!$C$20:$C$31,'Power Blocks'!$D$20:$D$31,,)</f>
        <v>Hdisk</v>
      </c>
      <c r="G64" s="141">
        <f>IF(F64=" "," ",D64/_xlfn.XLOOKUP($C64,'Power Blocks'!$C$20:$C$31,'Power Blocks'!$I$20:$I$31,,))</f>
        <v>0.11428571428571428</v>
      </c>
      <c r="H64" s="58">
        <f>IF(F64=" "," ",_xlfn.XLOOKUP($C64,'Power Blocks'!$C$20:$C$31,'Power Blocks'!$J$20:$J$31,,)*$G64)</f>
        <v>1.1428571428571429E-2</v>
      </c>
      <c r="I64" s="108">
        <f>IF(F64=" "," ",_xlfn.XLOOKUP($C64,'Power Blocks'!$C$20:$C$31,'Power Blocks'!$K$20:$K$31,,)/1000*$G64)</f>
        <v>457.13599999999997</v>
      </c>
      <c r="J64" s="110">
        <f>IF(F64=" "," ",_xlfn.XLOOKUP($C64,'Power Blocks'!$C$20:$C$31,'Power Blocks'!$M$20:$M$31,,)*$G64)</f>
        <v>8.48</v>
      </c>
      <c r="K64" s="3"/>
      <c r="L64" s="3"/>
      <c r="M64" s="3"/>
      <c r="N64" s="3"/>
      <c r="O64" s="3"/>
      <c r="P64" s="3"/>
      <c r="Q64" s="52"/>
      <c r="R64" s="52">
        <f t="shared" si="26"/>
        <v>1.1428571428571429E-2</v>
      </c>
      <c r="S64" s="52">
        <f t="shared" si="26"/>
        <v>1.1428571428571429E-2</v>
      </c>
      <c r="T64" s="52">
        <f t="shared" si="26"/>
        <v>1.1428571428571429E-2</v>
      </c>
      <c r="U64" s="52">
        <f t="shared" si="26"/>
        <v>1.1428571428571429E-2</v>
      </c>
      <c r="V64" s="52">
        <f t="shared" si="26"/>
        <v>1.1428571428571429E-2</v>
      </c>
      <c r="W64" s="52">
        <f t="shared" si="26"/>
        <v>1.1428571428571429E-2</v>
      </c>
      <c r="X64" s="52">
        <f t="shared" si="26"/>
        <v>1.1428571428571429E-2</v>
      </c>
      <c r="Y64" s="52">
        <f t="shared" si="26"/>
        <v>1.1428571428571429E-2</v>
      </c>
      <c r="Z64" s="52">
        <f t="shared" si="26"/>
        <v>1.1428571428571429E-2</v>
      </c>
      <c r="AA64" s="52">
        <f t="shared" si="26"/>
        <v>1.1428571428571429E-2</v>
      </c>
      <c r="AB64" s="52">
        <f t="shared" si="26"/>
        <v>1.1428571428571429E-2</v>
      </c>
      <c r="AC64" s="52">
        <f t="shared" si="26"/>
        <v>1.1428571428571429E-2</v>
      </c>
      <c r="AD64" s="52">
        <f t="shared" si="26"/>
        <v>1.1428571428571429E-2</v>
      </c>
    </row>
    <row r="65" spans="3:30">
      <c r="C65" s="72" t="s">
        <v>51</v>
      </c>
      <c r="D65" s="73">
        <v>5</v>
      </c>
      <c r="E65" s="77" t="s">
        <v>57</v>
      </c>
      <c r="F65" s="56" t="str">
        <f>_xlfn.XLOOKUP($C65,'Power Blocks'!$C$20:$C$31,'Power Blocks'!$D$20:$D$31,,)</f>
        <v>Sdisk</v>
      </c>
      <c r="G65" s="141">
        <f>IF(F65=" "," ",D65/_xlfn.XLOOKUP($C65,'Power Blocks'!$C$20:$C$31,'Power Blocks'!$I$20:$I$31,,))</f>
        <v>0.04</v>
      </c>
      <c r="H65" s="58">
        <f>IF(F65=" "," ",_xlfn.XLOOKUP($C65,'Power Blocks'!$C$20:$C$31,'Power Blocks'!$J$20:$J$31,,)*$G65)</f>
        <v>4.0000000000000001E-3</v>
      </c>
      <c r="I65" s="108">
        <f>IF(F65=" "," ",_xlfn.XLOOKUP($C65,'Power Blocks'!$C$20:$C$31,'Power Blocks'!$K$20:$K$31,,)/1000*$G65)</f>
        <v>210</v>
      </c>
      <c r="J65" s="110">
        <f>IF(F65=" "," ",_xlfn.XLOOKUP($C65,'Power Blocks'!$C$20:$C$31,'Power Blocks'!$M$20:$M$31,,)*$G65)</f>
        <v>1.5</v>
      </c>
      <c r="K65" s="3"/>
      <c r="L65" s="3"/>
      <c r="M65" s="3"/>
      <c r="N65" s="3"/>
      <c r="O65" s="3"/>
      <c r="P65" s="3"/>
      <c r="Q65" s="52"/>
      <c r="R65" s="52">
        <f t="shared" si="26"/>
        <v>4.0000000000000001E-3</v>
      </c>
      <c r="S65" s="52">
        <f t="shared" si="26"/>
        <v>4.0000000000000001E-3</v>
      </c>
      <c r="T65" s="52">
        <f t="shared" si="26"/>
        <v>4.0000000000000001E-3</v>
      </c>
      <c r="U65" s="52">
        <f t="shared" si="26"/>
        <v>4.0000000000000001E-3</v>
      </c>
      <c r="V65" s="52">
        <f t="shared" si="26"/>
        <v>4.0000000000000001E-3</v>
      </c>
      <c r="W65" s="52">
        <f t="shared" si="26"/>
        <v>4.0000000000000001E-3</v>
      </c>
      <c r="X65" s="52">
        <f t="shared" si="26"/>
        <v>4.0000000000000001E-3</v>
      </c>
      <c r="Y65" s="52">
        <f t="shared" si="26"/>
        <v>4.0000000000000001E-3</v>
      </c>
      <c r="Z65" s="52">
        <f t="shared" si="26"/>
        <v>4.0000000000000001E-3</v>
      </c>
      <c r="AA65" s="52">
        <f t="shared" si="26"/>
        <v>4.0000000000000001E-3</v>
      </c>
      <c r="AB65" s="52">
        <f t="shared" si="26"/>
        <v>4.0000000000000001E-3</v>
      </c>
      <c r="AC65" s="52"/>
      <c r="AD65" s="52"/>
    </row>
    <row r="66" spans="3:30">
      <c r="C66" s="72" t="s">
        <v>56</v>
      </c>
      <c r="D66" s="73">
        <v>4</v>
      </c>
      <c r="E66" s="77" t="s">
        <v>57</v>
      </c>
      <c r="F66" s="56" t="str">
        <f>_xlfn.XLOOKUP($C66,'Power Blocks'!$C$20:$C$31,'Power Blocks'!$D$20:$D$31,,)</f>
        <v>GPU</v>
      </c>
      <c r="G66" s="141">
        <f>IF(F66=" "," ",D66/_xlfn.XLOOKUP($C66,'Power Blocks'!$C$20:$C$31,'Power Blocks'!$I$20:$I$31,,))</f>
        <v>0.4</v>
      </c>
      <c r="H66" s="58">
        <f>IF(F66=" "," ",_xlfn.XLOOKUP($C66,'Power Blocks'!$C$20:$C$31,'Power Blocks'!$J$20:$J$31,,)*$G66)</f>
        <v>4.0000000000000008E-2</v>
      </c>
      <c r="I66" s="108">
        <f>IF(F66=" "," ",_xlfn.XLOOKUP($C66,'Power Blocks'!$C$20:$C$31,'Power Blocks'!$K$20:$K$31,,)/1000*$G66)</f>
        <v>1100</v>
      </c>
      <c r="J66" s="110">
        <f>IF(F66=" "," ",_xlfn.XLOOKUP($C66,'Power Blocks'!$C$20:$C$31,'Power Blocks'!$M$20:$M$31,,)*$G66)</f>
        <v>32</v>
      </c>
      <c r="K66" s="3"/>
      <c r="L66" s="3"/>
      <c r="M66" s="3"/>
      <c r="N66" s="3"/>
      <c r="O66" s="3"/>
      <c r="P66" s="3"/>
      <c r="Q66" s="52"/>
      <c r="R66" s="52">
        <f t="shared" ref="Q66:AG66" si="27">$H66</f>
        <v>4.0000000000000008E-2</v>
      </c>
      <c r="S66" s="52">
        <f t="shared" si="27"/>
        <v>4.0000000000000008E-2</v>
      </c>
      <c r="T66" s="52">
        <f t="shared" si="27"/>
        <v>4.0000000000000008E-2</v>
      </c>
      <c r="U66" s="52">
        <f t="shared" si="27"/>
        <v>4.0000000000000008E-2</v>
      </c>
      <c r="V66" s="52">
        <f t="shared" si="27"/>
        <v>4.0000000000000008E-2</v>
      </c>
      <c r="W66" s="52">
        <f t="shared" si="27"/>
        <v>4.0000000000000008E-2</v>
      </c>
      <c r="X66" s="52">
        <f t="shared" si="27"/>
        <v>4.0000000000000008E-2</v>
      </c>
      <c r="Y66" s="52">
        <f t="shared" si="27"/>
        <v>4.0000000000000008E-2</v>
      </c>
      <c r="Z66" s="52">
        <f t="shared" si="27"/>
        <v>4.0000000000000008E-2</v>
      </c>
      <c r="AA66" s="52">
        <f t="shared" si="26"/>
        <v>4.0000000000000008E-2</v>
      </c>
      <c r="AB66" s="52">
        <f t="shared" si="26"/>
        <v>4.0000000000000008E-2</v>
      </c>
      <c r="AC66" s="52">
        <f t="shared" si="26"/>
        <v>4.0000000000000008E-2</v>
      </c>
      <c r="AD66" s="52">
        <f t="shared" si="26"/>
        <v>4.0000000000000008E-2</v>
      </c>
    </row>
    <row r="67" spans="3:30">
      <c r="C67" s="72" t="s">
        <v>46</v>
      </c>
      <c r="D67" s="73"/>
      <c r="E67" s="77"/>
      <c r="F67" s="56" t="str">
        <f>_xlfn.XLOOKUP($C67,'Power Blocks'!$C$20:$C$31,'Power Blocks'!$D$20:$D$31,,)</f>
        <v>CPU</v>
      </c>
      <c r="G67" s="141">
        <f>IF(F67=" "," ",D67/_xlfn.XLOOKUP($C67,'Power Blocks'!$C$20:$C$31,'Power Blocks'!$I$20:$I$31,,))</f>
        <v>0</v>
      </c>
      <c r="H67" s="58">
        <f>IF(F67=" "," ",_xlfn.XLOOKUP($C67,'Power Blocks'!$C$20:$C$31,'Power Blocks'!$J$20:$J$31,,)*$G67)</f>
        <v>0</v>
      </c>
      <c r="I67" s="108">
        <f>IF(F67=" "," ",_xlfn.XLOOKUP($C67,'Power Blocks'!$C$20:$C$31,'Power Blocks'!$K$20:$K$31,,)/1000*$G67)</f>
        <v>0</v>
      </c>
      <c r="J67" s="110">
        <f>IF(F67=" "," ",_xlfn.XLOOKUP($C67,'Power Blocks'!$C$20:$C$31,'Power Blocks'!$M$20:$M$31,,)*$G67)</f>
        <v>0</v>
      </c>
      <c r="K67" s="3"/>
      <c r="L67" s="3"/>
      <c r="M67" s="3"/>
      <c r="N67" s="3"/>
      <c r="O67" s="3"/>
      <c r="P67" s="3"/>
      <c r="Q67" s="52"/>
      <c r="R67" s="52"/>
      <c r="S67" s="52">
        <f t="shared" si="26"/>
        <v>0</v>
      </c>
      <c r="T67" s="52">
        <f t="shared" si="26"/>
        <v>0</v>
      </c>
      <c r="U67" s="52">
        <f t="shared" si="26"/>
        <v>0</v>
      </c>
      <c r="V67" s="52">
        <f t="shared" si="26"/>
        <v>0</v>
      </c>
      <c r="W67" s="52">
        <f t="shared" si="26"/>
        <v>0</v>
      </c>
      <c r="X67" s="52">
        <f t="shared" si="26"/>
        <v>0</v>
      </c>
      <c r="Y67" s="52">
        <f t="shared" si="26"/>
        <v>0</v>
      </c>
      <c r="Z67" s="52">
        <f t="shared" si="26"/>
        <v>0</v>
      </c>
      <c r="AA67" s="52">
        <f t="shared" si="26"/>
        <v>0</v>
      </c>
      <c r="AB67" s="52">
        <f t="shared" si="26"/>
        <v>0</v>
      </c>
      <c r="AC67" s="52">
        <f t="shared" si="26"/>
        <v>0</v>
      </c>
      <c r="AD67" s="52">
        <f t="shared" si="26"/>
        <v>0</v>
      </c>
    </row>
    <row r="68" spans="3:30">
      <c r="C68" s="72" t="s">
        <v>58</v>
      </c>
      <c r="D68" s="73"/>
      <c r="E68" s="77"/>
      <c r="F68" s="56" t="str">
        <f>_xlfn.XLOOKUP($C68,'Power Blocks'!$C$20:$C$31,'Power Blocks'!$D$20:$D$31,,)</f>
        <v xml:space="preserve"> </v>
      </c>
      <c r="G68" s="141" t="str">
        <f>IF(F68=" "," ",D68/_xlfn.XLOOKUP($C68,'Power Blocks'!$C$20:$C$31,'Power Blocks'!$I$20:$I$31,,))</f>
        <v xml:space="preserve"> </v>
      </c>
      <c r="H68" s="58" t="str">
        <f>IF(F68=" "," ",_xlfn.XLOOKUP($C68,'Power Blocks'!$C$20:$C$31,'Power Blocks'!$J$20:$J$31,,)*$G68)</f>
        <v xml:space="preserve"> </v>
      </c>
      <c r="I68" s="108" t="str">
        <f>IF(F68=" "," ",_xlfn.XLOOKUP($C68,'Power Blocks'!$C$20:$C$31,'Power Blocks'!$K$20:$K$31,,)/1000*$G68)</f>
        <v xml:space="preserve"> </v>
      </c>
      <c r="J68" s="110" t="str">
        <f>IF(F68=" "," ",_xlfn.XLOOKUP($C68,'Power Blocks'!$C$20:$C$31,'Power Blocks'!$M$20:$M$31,,)*$G68)</f>
        <v xml:space="preserve"> </v>
      </c>
      <c r="K68" s="3"/>
      <c r="L68" s="3"/>
      <c r="M68" s="3"/>
      <c r="N68" s="3"/>
      <c r="O68" s="3"/>
      <c r="P68" s="3"/>
      <c r="Q68" s="52"/>
      <c r="R68" s="52"/>
      <c r="S68" s="52" t="str">
        <f t="shared" si="26"/>
        <v xml:space="preserve"> </v>
      </c>
      <c r="T68" s="52" t="str">
        <f t="shared" si="26"/>
        <v xml:space="preserve"> </v>
      </c>
      <c r="U68" s="52" t="str">
        <f t="shared" si="26"/>
        <v xml:space="preserve"> </v>
      </c>
      <c r="V68" s="52" t="str">
        <f t="shared" si="26"/>
        <v xml:space="preserve"> </v>
      </c>
      <c r="W68" s="52" t="str">
        <f t="shared" si="26"/>
        <v xml:space="preserve"> </v>
      </c>
      <c r="X68" s="52" t="str">
        <f t="shared" si="26"/>
        <v xml:space="preserve"> </v>
      </c>
      <c r="Y68" s="52" t="str">
        <f t="shared" si="26"/>
        <v xml:space="preserve"> </v>
      </c>
      <c r="Z68" s="52" t="str">
        <f t="shared" si="26"/>
        <v xml:space="preserve"> </v>
      </c>
      <c r="AA68" s="52" t="str">
        <f t="shared" si="26"/>
        <v xml:space="preserve"> </v>
      </c>
      <c r="AB68" s="52" t="str">
        <f t="shared" si="26"/>
        <v xml:space="preserve"> </v>
      </c>
      <c r="AC68" s="3"/>
      <c r="AD68" s="3"/>
    </row>
    <row r="69" spans="3:30">
      <c r="C69" s="72" t="s">
        <v>58</v>
      </c>
      <c r="D69" s="73"/>
      <c r="E69" s="77"/>
      <c r="F69" s="56" t="str">
        <f>_xlfn.XLOOKUP($C69,'Power Blocks'!$C$20:$C$31,'Power Blocks'!$D$20:$D$31,,)</f>
        <v xml:space="preserve"> </v>
      </c>
      <c r="G69" s="141" t="str">
        <f>IF(F69=" "," ",D69/_xlfn.XLOOKUP($C69,'Power Blocks'!$C$20:$C$31,'Power Blocks'!$I$20:$I$31,,))</f>
        <v xml:space="preserve"> </v>
      </c>
      <c r="H69" s="58" t="str">
        <f>IF(F69=" "," ",_xlfn.XLOOKUP($C69,'Power Blocks'!$C$20:$C$31,'Power Blocks'!$J$20:$J$31,,)*$G69)</f>
        <v xml:space="preserve"> </v>
      </c>
      <c r="I69" s="108" t="str">
        <f>IF(F69=" "," ",_xlfn.XLOOKUP($C69,'Power Blocks'!$C$20:$C$31,'Power Blocks'!$K$20:$K$31,,)/1000*$G69)</f>
        <v xml:space="preserve"> </v>
      </c>
      <c r="J69" s="110" t="str">
        <f>IF(F69=" "," ",_xlfn.XLOOKUP($C69,'Power Blocks'!$C$20:$C$31,'Power Blocks'!$M$20:$M$31,,)*$G69)</f>
        <v xml:space="preserve"> </v>
      </c>
      <c r="K69" s="3"/>
      <c r="L69" s="3"/>
      <c r="M69" s="3"/>
      <c r="N69" s="3"/>
      <c r="O69" s="3"/>
      <c r="P69" s="3"/>
      <c r="Q69" s="52"/>
      <c r="R69" s="52"/>
      <c r="S69" s="52" t="str">
        <f t="shared" si="26"/>
        <v xml:space="preserve"> </v>
      </c>
      <c r="T69" s="52" t="str">
        <f t="shared" si="26"/>
        <v xml:space="preserve"> </v>
      </c>
      <c r="U69" s="52" t="str">
        <f t="shared" si="26"/>
        <v xml:space="preserve"> </v>
      </c>
      <c r="V69" s="52" t="str">
        <f t="shared" si="26"/>
        <v xml:space="preserve"> </v>
      </c>
      <c r="W69" s="52" t="str">
        <f t="shared" si="26"/>
        <v xml:space="preserve"> </v>
      </c>
      <c r="X69" s="52" t="str">
        <f t="shared" si="26"/>
        <v xml:space="preserve"> </v>
      </c>
      <c r="Y69" s="52" t="str">
        <f t="shared" si="26"/>
        <v xml:space="preserve"> </v>
      </c>
      <c r="Z69" s="52" t="str">
        <f t="shared" si="26"/>
        <v xml:space="preserve"> </v>
      </c>
      <c r="AA69" s="52" t="str">
        <f t="shared" si="26"/>
        <v xml:space="preserve"> </v>
      </c>
      <c r="AB69" s="52" t="str">
        <f t="shared" si="26"/>
        <v xml:space="preserve"> </v>
      </c>
      <c r="AC69" s="3"/>
      <c r="AD69" s="3"/>
    </row>
    <row r="70" spans="3:30">
      <c r="C70" s="72" t="s">
        <v>58</v>
      </c>
      <c r="D70" s="73"/>
      <c r="E70" s="77"/>
      <c r="F70" s="56" t="str">
        <f>_xlfn.XLOOKUP($C70,'Power Blocks'!$C$20:$C$31,'Power Blocks'!$D$20:$D$31,,)</f>
        <v xml:space="preserve"> </v>
      </c>
      <c r="G70" s="141" t="str">
        <f>IF(F70=" "," ",D70/_xlfn.XLOOKUP($C70,'Power Blocks'!$C$20:$C$31,'Power Blocks'!$I$20:$I$31,,))</f>
        <v xml:space="preserve"> </v>
      </c>
      <c r="H70" s="58" t="str">
        <f>IF(F70=" "," ",_xlfn.XLOOKUP($C70,'Power Blocks'!$C$20:$C$31,'Power Blocks'!$J$20:$J$31,,)*$G70)</f>
        <v xml:space="preserve"> </v>
      </c>
      <c r="I70" s="108" t="str">
        <f>IF(F70=" "," ",_xlfn.XLOOKUP($C70,'Power Blocks'!$C$20:$C$31,'Power Blocks'!$K$20:$K$31,,)/1000*$G70)</f>
        <v xml:space="preserve"> </v>
      </c>
      <c r="J70" s="110" t="str">
        <f>IF(F70=" "," ",_xlfn.XLOOKUP($C70,'Power Blocks'!$C$20:$C$31,'Power Blocks'!$M$20:$M$31,,)*$G70)</f>
        <v xml:space="preserve"> </v>
      </c>
      <c r="K70" s="3"/>
      <c r="L70" s="3"/>
      <c r="M70" s="3"/>
      <c r="N70" s="3"/>
      <c r="O70" s="3"/>
      <c r="P70" s="3"/>
      <c r="Q70" s="52"/>
      <c r="R70" s="52"/>
      <c r="S70" s="52" t="str">
        <f t="shared" si="26"/>
        <v xml:space="preserve"> </v>
      </c>
      <c r="T70" s="52" t="str">
        <f t="shared" si="26"/>
        <v xml:space="preserve"> </v>
      </c>
      <c r="U70" s="52" t="str">
        <f t="shared" si="26"/>
        <v xml:space="preserve"> </v>
      </c>
      <c r="V70" s="52" t="str">
        <f t="shared" si="26"/>
        <v xml:space="preserve"> </v>
      </c>
      <c r="W70" s="52" t="str">
        <f t="shared" si="26"/>
        <v xml:space="preserve"> </v>
      </c>
      <c r="X70" s="52" t="str">
        <f t="shared" si="26"/>
        <v xml:space="preserve"> </v>
      </c>
      <c r="Y70" s="52" t="str">
        <f t="shared" si="26"/>
        <v xml:space="preserve"> </v>
      </c>
      <c r="Z70" s="52" t="str">
        <f t="shared" si="26"/>
        <v xml:space="preserve"> </v>
      </c>
      <c r="AA70" s="52" t="str">
        <f t="shared" si="26"/>
        <v xml:space="preserve"> </v>
      </c>
      <c r="AB70" s="52" t="str">
        <f t="shared" si="26"/>
        <v xml:space="preserve"> </v>
      </c>
      <c r="AC70" s="3"/>
      <c r="AD70" s="3"/>
    </row>
    <row r="71" spans="3:30">
      <c r="C71" s="72" t="s">
        <v>58</v>
      </c>
      <c r="D71" s="73" t="s">
        <v>59</v>
      </c>
      <c r="E71" s="77"/>
      <c r="F71" s="56" t="str">
        <f>_xlfn.XLOOKUP($C71,'Power Blocks'!$C$20:$C$31,'Power Blocks'!$D$20:$D$31,,)</f>
        <v xml:space="preserve"> </v>
      </c>
      <c r="G71" s="141" t="str">
        <f>IF(F71=" "," ",D71/_xlfn.XLOOKUP($C71,'Power Blocks'!$C$20:$C$31,'Power Blocks'!$I$20:$I$31,,))</f>
        <v xml:space="preserve"> </v>
      </c>
      <c r="H71" s="58" t="str">
        <f>IF(F71=" "," ",_xlfn.XLOOKUP($C71,'Power Blocks'!$C$20:$C$31,'Power Blocks'!$J$20:$J$31,,)*$G71)</f>
        <v xml:space="preserve"> </v>
      </c>
      <c r="I71" s="108" t="str">
        <f>IF(F71=" "," ",_xlfn.XLOOKUP($C71,'Power Blocks'!$C$20:$C$31,'Power Blocks'!$K$20:$K$31,,)/1000*$G71)</f>
        <v xml:space="preserve"> </v>
      </c>
      <c r="J71" s="110" t="str">
        <f>IF(F71=" "," ",_xlfn.XLOOKUP($C71,'Power Blocks'!$C$20:$C$31,'Power Blocks'!$M$20:$M$31,,)*$G71)</f>
        <v xml:space="preserve"> </v>
      </c>
      <c r="K71" s="52" t="str">
        <f t="shared" ref="K71:P71" si="28">$H71</f>
        <v xml:space="preserve"> </v>
      </c>
      <c r="L71" s="52" t="str">
        <f t="shared" si="28"/>
        <v xml:space="preserve"> </v>
      </c>
      <c r="M71" s="52" t="str">
        <f t="shared" si="28"/>
        <v xml:space="preserve"> </v>
      </c>
      <c r="N71" s="52" t="str">
        <f t="shared" si="28"/>
        <v xml:space="preserve"> </v>
      </c>
      <c r="O71" s="52" t="str">
        <f t="shared" si="28"/>
        <v xml:space="preserve"> </v>
      </c>
      <c r="P71" s="52" t="str">
        <f t="shared" si="28"/>
        <v xml:space="preserve"> </v>
      </c>
      <c r="Q71" s="52" t="str">
        <f t="shared" si="26"/>
        <v xml:space="preserve"> </v>
      </c>
      <c r="R71" s="52" t="str">
        <f t="shared" si="26"/>
        <v xml:space="preserve"> </v>
      </c>
      <c r="S71" s="52" t="str">
        <f t="shared" si="26"/>
        <v xml:space="preserve"> </v>
      </c>
      <c r="T71" s="52" t="str">
        <f t="shared" si="26"/>
        <v xml:space="preserve"> </v>
      </c>
      <c r="U71" s="52" t="str">
        <f t="shared" si="26"/>
        <v xml:space="preserve"> </v>
      </c>
      <c r="V71" s="52" t="str">
        <f t="shared" si="26"/>
        <v xml:space="preserve"> </v>
      </c>
      <c r="W71" s="52" t="str">
        <f t="shared" si="26"/>
        <v xml:space="preserve"> </v>
      </c>
      <c r="X71" s="52" t="str">
        <f t="shared" si="26"/>
        <v xml:space="preserve"> </v>
      </c>
      <c r="Y71" s="52" t="str">
        <f t="shared" si="26"/>
        <v xml:space="preserve"> </v>
      </c>
      <c r="Z71" s="52" t="str">
        <f t="shared" si="26"/>
        <v xml:space="preserve"> </v>
      </c>
      <c r="AA71" s="52" t="str">
        <f t="shared" si="26"/>
        <v xml:space="preserve"> </v>
      </c>
      <c r="AB71" s="52" t="str">
        <f t="shared" si="26"/>
        <v xml:space="preserve"> </v>
      </c>
      <c r="AC71" s="52" t="str">
        <f t="shared" si="26"/>
        <v xml:space="preserve"> </v>
      </c>
      <c r="AD71" s="52" t="str">
        <f t="shared" si="26"/>
        <v xml:space="preserve"> </v>
      </c>
    </row>
    <row r="72" spans="3:30">
      <c r="C72" s="72" t="s">
        <v>58</v>
      </c>
      <c r="D72" s="73" t="s">
        <v>59</v>
      </c>
      <c r="E72" s="77" t="s">
        <v>59</v>
      </c>
      <c r="F72" s="56" t="str">
        <f>_xlfn.XLOOKUP($C72,'Power Blocks'!$C$20:$C$31,'Power Blocks'!$D$20:$D$31,,)</f>
        <v xml:space="preserve"> </v>
      </c>
      <c r="G72" s="141" t="str">
        <f>IF(F72=" "," ",D72/_xlfn.XLOOKUP($C72,'Power Blocks'!$C$20:$C$31,'Power Blocks'!$I$20:$I$31,,))</f>
        <v xml:space="preserve"> </v>
      </c>
      <c r="H72" s="58" t="str">
        <f>IF(F72=" "," ",_xlfn.XLOOKUP($C72,'Power Blocks'!$C$20:$C$31,'Power Blocks'!$J$20:$J$31,,)*$G72)</f>
        <v xml:space="preserve"> </v>
      </c>
      <c r="I72" s="108" t="str">
        <f>IF(F72=" "," ",_xlfn.XLOOKUP($C72,'Power Blocks'!$C$20:$C$31,'Power Blocks'!$K$20:$K$31,,)/1000*$G72)</f>
        <v xml:space="preserve"> </v>
      </c>
      <c r="J72" s="110" t="str">
        <f>IF(F72=" "," ",_xlfn.XLOOKUP($C72,'Power Blocks'!$C$20:$C$31,'Power Blocks'!$M$20:$M$31,,)*$G72)</f>
        <v xml:space="preserve"> 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3:30">
      <c r="C73" s="72" t="s">
        <v>46</v>
      </c>
      <c r="D73" s="196">
        <v>200</v>
      </c>
      <c r="E73" s="77" t="s">
        <v>60</v>
      </c>
      <c r="F73" s="56" t="str">
        <f>_xlfn.XLOOKUP($C73,'Power Blocks'!$C$20:$C$31,'Power Blocks'!$D$20:$D$31,,)</f>
        <v>CPU</v>
      </c>
      <c r="G73" s="141">
        <f>IF(F73=" "," ",D73/_xlfn.XLOOKUP($C73,'Power Blocks'!$C$20:$C$31,'Power Blocks'!$I$20:$I$31,,))</f>
        <v>2</v>
      </c>
      <c r="H73" s="58">
        <f>IF(F73=" "," ",_xlfn.XLOOKUP($C73,'Power Blocks'!$C$20:$C$31,'Power Blocks'!$J$20:$J$31,,)*$G73)</f>
        <v>0.2</v>
      </c>
      <c r="I73" s="108">
        <f>IF(F73=" "," ",_xlfn.XLOOKUP($C73,'Power Blocks'!$C$20:$C$31,'Power Blocks'!$K$20:$K$31,,)/1000*$G73)</f>
        <v>2000</v>
      </c>
      <c r="J73" s="110">
        <f>IF(F73=" "," ",_xlfn.XLOOKUP($C73,'Power Blocks'!$C$20:$C$31,'Power Blocks'!$M$20:$M$31,,)*$G73)</f>
        <v>25600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3:30">
      <c r="C74" s="72" t="s">
        <v>56</v>
      </c>
      <c r="D74" s="73">
        <v>10</v>
      </c>
      <c r="E74" s="77" t="s">
        <v>61</v>
      </c>
      <c r="F74" s="56" t="str">
        <f>_xlfn.XLOOKUP($C74,'Power Blocks'!$C$20:$C$31,'Power Blocks'!$D$20:$D$31,,)</f>
        <v>GPU</v>
      </c>
      <c r="G74" s="141">
        <f>IF(F74=" "," ",D74/_xlfn.XLOOKUP($C74,'Power Blocks'!$C$20:$C$31,'Power Blocks'!$I$20:$I$31,,))</f>
        <v>1</v>
      </c>
      <c r="H74" s="58">
        <f>IF(F74=" "," ",_xlfn.XLOOKUP($C74,'Power Blocks'!$C$20:$C$31,'Power Blocks'!$J$20:$J$31,,)*$G74)</f>
        <v>0.1</v>
      </c>
      <c r="I74" s="108">
        <f>IF(F74=" "," ",_xlfn.XLOOKUP($C74,'Power Blocks'!$C$20:$C$31,'Power Blocks'!$K$20:$K$31,,)/1000*$G74)</f>
        <v>2750</v>
      </c>
      <c r="J74" s="110">
        <f>IF(F74=" "," ",_xlfn.XLOOKUP($C74,'Power Blocks'!$C$20:$C$31,'Power Blocks'!$M$20:$M$31,,)*$G74)</f>
        <v>80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3:30">
      <c r="C75" s="72" t="s">
        <v>52</v>
      </c>
      <c r="D75" s="73">
        <v>10</v>
      </c>
      <c r="E75" s="77" t="s">
        <v>61</v>
      </c>
      <c r="F75" s="56" t="str">
        <f>_xlfn.XLOOKUP($C75,'Power Blocks'!$C$20:$C$31,'Power Blocks'!$D$20:$D$31,,)</f>
        <v>GPU</v>
      </c>
      <c r="G75" s="141">
        <f>IF(F75=" "," ",D75/_xlfn.XLOOKUP($C75,'Power Blocks'!$C$20:$C$31,'Power Blocks'!$I$20:$I$31,,))</f>
        <v>0.5</v>
      </c>
      <c r="H75" s="58">
        <f>IF(F75=" "," ",_xlfn.XLOOKUP($C75,'Power Blocks'!$C$20:$C$31,'Power Blocks'!$J$20:$J$31,,)*$G75)</f>
        <v>0.05</v>
      </c>
      <c r="I75" s="108">
        <f>IF(F75=" "," ",_xlfn.XLOOKUP($C75,'Power Blocks'!$C$20:$C$31,'Power Blocks'!$K$20:$K$31,,)/1000*$G75)</f>
        <v>613</v>
      </c>
      <c r="J75" s="110">
        <f>IF(F75=" "," ",_xlfn.XLOOKUP($C75,'Power Blocks'!$C$20:$C$31,'Power Blocks'!$M$20:$M$31,,)*$G75)</f>
        <v>80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3:30">
      <c r="C76" s="72" t="s">
        <v>56</v>
      </c>
      <c r="D76" s="73">
        <v>8</v>
      </c>
      <c r="E76" s="77" t="s">
        <v>60</v>
      </c>
      <c r="F76" s="56" t="str">
        <f>_xlfn.XLOOKUP($C76,'Power Blocks'!$C$20:$C$31,'Power Blocks'!$D$20:$D$31,,)</f>
        <v>GPU</v>
      </c>
      <c r="G76" s="141">
        <f>IF(F76=" "," ",D76/_xlfn.XLOOKUP($C76,'Power Blocks'!$C$20:$C$31,'Power Blocks'!$I$20:$I$31,,))</f>
        <v>0.8</v>
      </c>
      <c r="H76" s="58">
        <f>IF(F76=" "," ",_xlfn.XLOOKUP($C76,'Power Blocks'!$C$20:$C$31,'Power Blocks'!$J$20:$J$31,,)*$G76)</f>
        <v>8.0000000000000016E-2</v>
      </c>
      <c r="I76" s="108">
        <f>IF(F76=" "," ",_xlfn.XLOOKUP($C76,'Power Blocks'!$C$20:$C$31,'Power Blocks'!$K$20:$K$31,,)/1000*$G76)</f>
        <v>2200</v>
      </c>
      <c r="J76" s="110">
        <f>IF(F76=" "," ",_xlfn.XLOOKUP($C76,'Power Blocks'!$C$20:$C$31,'Power Blocks'!$M$20:$M$31,,)*$G76)</f>
        <v>64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8" spans="3:30">
      <c r="E78" s="78" t="s">
        <v>62</v>
      </c>
    </row>
    <row r="79" spans="3:30">
      <c r="C79" s="195" t="s">
        <v>63</v>
      </c>
    </row>
    <row r="102" spans="3:30">
      <c r="C102" s="218" t="s">
        <v>64</v>
      </c>
      <c r="D102" s="218"/>
      <c r="E102" s="218"/>
      <c r="F102" s="218"/>
      <c r="G102" s="218"/>
      <c r="H102" s="218"/>
      <c r="I102" s="218"/>
      <c r="J102" s="218"/>
      <c r="K102" s="116">
        <v>2024</v>
      </c>
      <c r="L102" s="116">
        <v>2024.25</v>
      </c>
      <c r="M102" s="116">
        <v>2024.5</v>
      </c>
      <c r="N102" s="116">
        <v>2024.75</v>
      </c>
      <c r="O102" s="116">
        <v>2025</v>
      </c>
      <c r="P102" s="116">
        <v>2025.25</v>
      </c>
      <c r="Q102" s="116">
        <f t="shared" ref="Q102" si="29">P102+0.25</f>
        <v>2025.5</v>
      </c>
      <c r="R102" s="116">
        <f t="shared" ref="R102" si="30">Q102+0.25</f>
        <v>2025.75</v>
      </c>
      <c r="S102" s="116">
        <f t="shared" ref="S102" si="31">R102+0.25</f>
        <v>2026</v>
      </c>
      <c r="T102" s="116">
        <f t="shared" ref="T102" si="32">S102+0.25</f>
        <v>2026.25</v>
      </c>
      <c r="U102" s="116">
        <f t="shared" ref="U102" si="33">T102+0.25</f>
        <v>2026.5</v>
      </c>
      <c r="V102" s="116">
        <f t="shared" ref="V102" si="34">U102+0.25</f>
        <v>2026.75</v>
      </c>
      <c r="W102" s="116">
        <f t="shared" ref="W102" si="35">V102+0.25</f>
        <v>2027</v>
      </c>
      <c r="X102" s="116">
        <f t="shared" ref="X102" si="36">W102+0.25</f>
        <v>2027.25</v>
      </c>
      <c r="Y102" s="116">
        <f t="shared" ref="Y102" si="37">X102+0.25</f>
        <v>2027.5</v>
      </c>
      <c r="Z102" s="116">
        <f t="shared" ref="Z102" si="38">Y102+0.25</f>
        <v>2027.75</v>
      </c>
      <c r="AA102" s="116">
        <f t="shared" ref="AA102" si="39">Z102+0.25</f>
        <v>2028</v>
      </c>
      <c r="AB102" s="116">
        <f t="shared" ref="AB102" si="40">AA102+0.25</f>
        <v>2028.25</v>
      </c>
      <c r="AC102" s="116">
        <f t="shared" ref="AC102" si="41">AB102+0.25</f>
        <v>2028.5</v>
      </c>
      <c r="AD102" s="116">
        <f t="shared" ref="AD102" si="42">AC102+0.25</f>
        <v>2028.75</v>
      </c>
    </row>
    <row r="103" spans="3:30" s="13" customFormat="1">
      <c r="C103" s="218"/>
      <c r="D103" s="218"/>
      <c r="E103" s="218"/>
      <c r="F103" s="218"/>
      <c r="G103" s="218"/>
      <c r="H103" s="218"/>
      <c r="I103" s="218"/>
      <c r="J103" s="218"/>
      <c r="K103" s="117">
        <f>SUM(K106:K129)</f>
        <v>0</v>
      </c>
      <c r="L103" s="117">
        <f t="shared" ref="L103:AD103" si="43">SUM(L106:L129)</f>
        <v>0</v>
      </c>
      <c r="M103" s="117">
        <f t="shared" si="43"/>
        <v>5074.826</v>
      </c>
      <c r="N103" s="117">
        <f t="shared" si="43"/>
        <v>0</v>
      </c>
      <c r="O103" s="117">
        <f t="shared" si="43"/>
        <v>0</v>
      </c>
      <c r="P103" s="117">
        <f t="shared" si="43"/>
        <v>0</v>
      </c>
      <c r="Q103" s="117">
        <f t="shared" si="43"/>
        <v>6167.1360000000004</v>
      </c>
      <c r="R103" s="117">
        <f t="shared" si="43"/>
        <v>0</v>
      </c>
      <c r="S103" s="117">
        <f t="shared" si="43"/>
        <v>0</v>
      </c>
      <c r="T103" s="117">
        <f t="shared" si="43"/>
        <v>0</v>
      </c>
      <c r="U103" s="117">
        <f t="shared" si="43"/>
        <v>0</v>
      </c>
      <c r="V103" s="117">
        <f t="shared" si="43"/>
        <v>0</v>
      </c>
      <c r="W103" s="117">
        <f t="shared" si="43"/>
        <v>0</v>
      </c>
      <c r="X103" s="117">
        <f t="shared" si="43"/>
        <v>0</v>
      </c>
      <c r="Y103" s="117">
        <f t="shared" si="43"/>
        <v>0</v>
      </c>
      <c r="Z103" s="117">
        <f t="shared" si="43"/>
        <v>0</v>
      </c>
      <c r="AA103" s="117">
        <f t="shared" si="43"/>
        <v>0</v>
      </c>
      <c r="AB103" s="117">
        <f t="shared" si="43"/>
        <v>0</v>
      </c>
      <c r="AC103" s="117">
        <f t="shared" si="43"/>
        <v>0</v>
      </c>
      <c r="AD103" s="117">
        <f t="shared" si="43"/>
        <v>0</v>
      </c>
    </row>
    <row r="104" spans="3:30">
      <c r="C104" s="111" t="str">
        <f t="shared" ref="C104:J108" si="44">C52</f>
        <v>HPC1</v>
      </c>
      <c r="D104" s="112">
        <f t="shared" si="44"/>
        <v>375</v>
      </c>
      <c r="E104" s="139" t="str">
        <f t="shared" si="44"/>
        <v>RockFish</v>
      </c>
      <c r="F104" s="111" t="str">
        <f t="shared" si="44"/>
        <v>CPU</v>
      </c>
      <c r="G104" s="142">
        <f t="shared" si="44"/>
        <v>3.75</v>
      </c>
      <c r="H104" s="113">
        <f t="shared" si="44"/>
        <v>0.375</v>
      </c>
      <c r="I104" s="111">
        <f t="shared" si="44"/>
        <v>3750</v>
      </c>
      <c r="J104" s="114">
        <f t="shared" si="44"/>
        <v>48000</v>
      </c>
      <c r="K104" s="115">
        <f t="shared" ref="K104:AD104" si="45">IF(AND(ISBLANK(K52),NOT(ISBLANK(L52))),$I52,0)</f>
        <v>0</v>
      </c>
      <c r="L104" s="115">
        <f t="shared" si="45"/>
        <v>0</v>
      </c>
      <c r="M104" s="115">
        <f t="shared" si="45"/>
        <v>0</v>
      </c>
      <c r="N104" s="115">
        <f t="shared" si="45"/>
        <v>0</v>
      </c>
      <c r="O104" s="115">
        <f t="shared" si="45"/>
        <v>0</v>
      </c>
      <c r="P104" s="115">
        <f t="shared" si="45"/>
        <v>0</v>
      </c>
      <c r="Q104" s="115">
        <f t="shared" si="45"/>
        <v>0</v>
      </c>
      <c r="R104" s="115">
        <f t="shared" si="45"/>
        <v>0</v>
      </c>
      <c r="S104" s="115">
        <f t="shared" si="45"/>
        <v>0</v>
      </c>
      <c r="T104" s="115">
        <f t="shared" si="45"/>
        <v>0</v>
      </c>
      <c r="U104" s="115">
        <f t="shared" si="45"/>
        <v>0</v>
      </c>
      <c r="V104" s="115">
        <f t="shared" si="45"/>
        <v>0</v>
      </c>
      <c r="W104" s="115">
        <f t="shared" si="45"/>
        <v>0</v>
      </c>
      <c r="X104" s="115">
        <f t="shared" si="45"/>
        <v>0</v>
      </c>
      <c r="Y104" s="115">
        <f t="shared" si="45"/>
        <v>0</v>
      </c>
      <c r="Z104" s="115">
        <f t="shared" si="45"/>
        <v>0</v>
      </c>
      <c r="AA104" s="115">
        <f t="shared" si="45"/>
        <v>0</v>
      </c>
      <c r="AB104" s="115">
        <f t="shared" si="45"/>
        <v>0</v>
      </c>
      <c r="AC104" s="115">
        <f t="shared" si="45"/>
        <v>0</v>
      </c>
      <c r="AD104" s="115">
        <f t="shared" si="45"/>
        <v>0</v>
      </c>
    </row>
    <row r="105" spans="3:30">
      <c r="C105" s="111" t="str">
        <f t="shared" si="44"/>
        <v>V100-4</v>
      </c>
      <c r="D105" s="112">
        <f t="shared" si="44"/>
        <v>31</v>
      </c>
      <c r="E105" s="139" t="str">
        <f t="shared" si="44"/>
        <v>ARCH</v>
      </c>
      <c r="F105" s="111" t="str">
        <f t="shared" si="44"/>
        <v>GPU</v>
      </c>
      <c r="G105" s="142">
        <f t="shared" si="44"/>
        <v>1.55</v>
      </c>
      <c r="H105" s="113">
        <f t="shared" si="44"/>
        <v>0.15500000000000003</v>
      </c>
      <c r="I105" s="111">
        <f t="shared" si="44"/>
        <v>620</v>
      </c>
      <c r="J105" s="114">
        <f t="shared" si="44"/>
        <v>124</v>
      </c>
      <c r="K105" s="115">
        <f t="shared" ref="K105:AD105" si="46">IF(AND(ISBLANK(K53),NOT(ISBLANK(L53))),$I53,0)</f>
        <v>0</v>
      </c>
      <c r="L105" s="115">
        <f t="shared" si="46"/>
        <v>0</v>
      </c>
      <c r="M105" s="115">
        <f t="shared" si="46"/>
        <v>0</v>
      </c>
      <c r="N105" s="115">
        <f t="shared" si="46"/>
        <v>0</v>
      </c>
      <c r="O105" s="115">
        <f t="shared" si="46"/>
        <v>0</v>
      </c>
      <c r="P105" s="115">
        <f t="shared" si="46"/>
        <v>0</v>
      </c>
      <c r="Q105" s="115">
        <f t="shared" si="46"/>
        <v>0</v>
      </c>
      <c r="R105" s="115">
        <f t="shared" si="46"/>
        <v>0</v>
      </c>
      <c r="S105" s="115">
        <f t="shared" si="46"/>
        <v>0</v>
      </c>
      <c r="T105" s="115">
        <f t="shared" si="46"/>
        <v>0</v>
      </c>
      <c r="U105" s="115">
        <f t="shared" si="46"/>
        <v>0</v>
      </c>
      <c r="V105" s="115">
        <f t="shared" si="46"/>
        <v>0</v>
      </c>
      <c r="W105" s="115">
        <f t="shared" si="46"/>
        <v>0</v>
      </c>
      <c r="X105" s="115">
        <f t="shared" si="46"/>
        <v>0</v>
      </c>
      <c r="Y105" s="115">
        <f t="shared" si="46"/>
        <v>0</v>
      </c>
      <c r="Z105" s="115">
        <f t="shared" si="46"/>
        <v>0</v>
      </c>
      <c r="AA105" s="115">
        <f t="shared" si="46"/>
        <v>0</v>
      </c>
      <c r="AB105" s="115">
        <f t="shared" si="46"/>
        <v>0</v>
      </c>
      <c r="AC105" s="115">
        <f t="shared" si="46"/>
        <v>0</v>
      </c>
      <c r="AD105" s="115">
        <f t="shared" si="46"/>
        <v>0</v>
      </c>
    </row>
    <row r="106" spans="3:30">
      <c r="C106" s="111" t="str">
        <f t="shared" si="44"/>
        <v>HDD</v>
      </c>
      <c r="D106" s="112">
        <f t="shared" si="44"/>
        <v>30</v>
      </c>
      <c r="E106" s="139" t="str">
        <f t="shared" si="44"/>
        <v>ARCH</v>
      </c>
      <c r="F106" s="111" t="str">
        <f t="shared" si="44"/>
        <v>Hdisk</v>
      </c>
      <c r="G106" s="142">
        <f t="shared" si="44"/>
        <v>0.21428571428571427</v>
      </c>
      <c r="H106" s="113">
        <f t="shared" si="44"/>
        <v>2.1428571428571429E-2</v>
      </c>
      <c r="I106" s="111">
        <f t="shared" si="44"/>
        <v>857.13</v>
      </c>
      <c r="J106" s="114">
        <f t="shared" si="44"/>
        <v>15.9</v>
      </c>
      <c r="K106" s="115">
        <f t="shared" ref="K106:AD106" si="47">IF(AND(ISBLANK(K54),NOT(ISBLANK(L54))),$I54,0)</f>
        <v>0</v>
      </c>
      <c r="L106" s="115">
        <f t="shared" si="47"/>
        <v>0</v>
      </c>
      <c r="M106" s="115">
        <f t="shared" si="47"/>
        <v>0</v>
      </c>
      <c r="N106" s="115">
        <f t="shared" si="47"/>
        <v>0</v>
      </c>
      <c r="O106" s="115">
        <f t="shared" si="47"/>
        <v>0</v>
      </c>
      <c r="P106" s="115">
        <f t="shared" si="47"/>
        <v>0</v>
      </c>
      <c r="Q106" s="115">
        <f t="shared" si="47"/>
        <v>0</v>
      </c>
      <c r="R106" s="115">
        <f t="shared" si="47"/>
        <v>0</v>
      </c>
      <c r="S106" s="115">
        <f t="shared" si="47"/>
        <v>0</v>
      </c>
      <c r="T106" s="115">
        <f t="shared" si="47"/>
        <v>0</v>
      </c>
      <c r="U106" s="115">
        <f t="shared" si="47"/>
        <v>0</v>
      </c>
      <c r="V106" s="115">
        <f t="shared" si="47"/>
        <v>0</v>
      </c>
      <c r="W106" s="115">
        <f t="shared" si="47"/>
        <v>0</v>
      </c>
      <c r="X106" s="115">
        <f t="shared" si="47"/>
        <v>0</v>
      </c>
      <c r="Y106" s="115">
        <f t="shared" si="47"/>
        <v>0</v>
      </c>
      <c r="Z106" s="115">
        <f t="shared" si="47"/>
        <v>0</v>
      </c>
      <c r="AA106" s="115">
        <f t="shared" si="47"/>
        <v>0</v>
      </c>
      <c r="AB106" s="115">
        <f t="shared" si="47"/>
        <v>0</v>
      </c>
      <c r="AC106" s="115">
        <f t="shared" si="47"/>
        <v>0</v>
      </c>
      <c r="AD106" s="115">
        <f t="shared" si="47"/>
        <v>0</v>
      </c>
    </row>
    <row r="107" spans="3:30">
      <c r="C107" s="111" t="str">
        <f t="shared" si="44"/>
        <v>SSD</v>
      </c>
      <c r="D107" s="112">
        <f t="shared" si="44"/>
        <v>4</v>
      </c>
      <c r="E107" s="139" t="str">
        <f t="shared" si="44"/>
        <v>ARCH</v>
      </c>
      <c r="F107" s="111" t="str">
        <f t="shared" si="44"/>
        <v>Sdisk</v>
      </c>
      <c r="G107" s="142">
        <f t="shared" si="44"/>
        <v>3.2000000000000001E-2</v>
      </c>
      <c r="H107" s="113">
        <f t="shared" si="44"/>
        <v>3.2000000000000002E-3</v>
      </c>
      <c r="I107" s="111">
        <f t="shared" si="44"/>
        <v>168</v>
      </c>
      <c r="J107" s="114">
        <f t="shared" si="44"/>
        <v>1.2</v>
      </c>
      <c r="K107" s="115">
        <f t="shared" ref="K107:AD107" si="48">IF(AND(ISBLANK(K55),NOT(ISBLANK(L55))),$I55,0)</f>
        <v>0</v>
      </c>
      <c r="L107" s="115">
        <f t="shared" si="48"/>
        <v>0</v>
      </c>
      <c r="M107" s="115">
        <f t="shared" si="48"/>
        <v>0</v>
      </c>
      <c r="N107" s="115">
        <f t="shared" si="48"/>
        <v>0</v>
      </c>
      <c r="O107" s="115">
        <f t="shared" si="48"/>
        <v>0</v>
      </c>
      <c r="P107" s="115">
        <f t="shared" si="48"/>
        <v>0</v>
      </c>
      <c r="Q107" s="115">
        <f t="shared" si="48"/>
        <v>0</v>
      </c>
      <c r="R107" s="115">
        <f t="shared" si="48"/>
        <v>0</v>
      </c>
      <c r="S107" s="115">
        <f t="shared" si="48"/>
        <v>0</v>
      </c>
      <c r="T107" s="115">
        <f t="shared" si="48"/>
        <v>0</v>
      </c>
      <c r="U107" s="115">
        <f t="shared" si="48"/>
        <v>0</v>
      </c>
      <c r="V107" s="115">
        <f t="shared" si="48"/>
        <v>0</v>
      </c>
      <c r="W107" s="115">
        <f t="shared" si="48"/>
        <v>0</v>
      </c>
      <c r="X107" s="115">
        <f t="shared" si="48"/>
        <v>0</v>
      </c>
      <c r="Y107" s="115">
        <f t="shared" si="48"/>
        <v>0</v>
      </c>
      <c r="Z107" s="115">
        <f t="shared" si="48"/>
        <v>0</v>
      </c>
      <c r="AA107" s="115">
        <f t="shared" si="48"/>
        <v>0</v>
      </c>
      <c r="AB107" s="115">
        <f t="shared" si="48"/>
        <v>0</v>
      </c>
      <c r="AC107" s="115">
        <f t="shared" si="48"/>
        <v>0</v>
      </c>
      <c r="AD107" s="115">
        <f t="shared" si="48"/>
        <v>0</v>
      </c>
    </row>
    <row r="108" spans="3:30">
      <c r="C108" s="111" t="str">
        <f t="shared" si="44"/>
        <v>L40-8</v>
      </c>
      <c r="D108" s="112">
        <f t="shared" si="44"/>
        <v>4</v>
      </c>
      <c r="E108" s="139" t="str">
        <f t="shared" si="44"/>
        <v>ARCH</v>
      </c>
      <c r="F108" s="111" t="str">
        <f t="shared" si="44"/>
        <v>GPU</v>
      </c>
      <c r="G108" s="142">
        <f t="shared" si="44"/>
        <v>0.2</v>
      </c>
      <c r="H108" s="113">
        <f t="shared" si="44"/>
        <v>2.0000000000000004E-2</v>
      </c>
      <c r="I108" s="111">
        <f t="shared" si="44"/>
        <v>245.20000000000002</v>
      </c>
      <c r="J108" s="114">
        <f t="shared" si="44"/>
        <v>32</v>
      </c>
      <c r="K108" s="115">
        <f t="shared" ref="K108:AD108" si="49">IF(AND(ISBLANK(K56),NOT(ISBLANK(L56))),$I56,0)</f>
        <v>0</v>
      </c>
      <c r="L108" s="115">
        <f t="shared" si="49"/>
        <v>0</v>
      </c>
      <c r="M108" s="115">
        <f t="shared" si="49"/>
        <v>0</v>
      </c>
      <c r="N108" s="115">
        <f t="shared" si="49"/>
        <v>0</v>
      </c>
      <c r="O108" s="115">
        <f t="shared" si="49"/>
        <v>0</v>
      </c>
      <c r="P108" s="115">
        <f t="shared" si="49"/>
        <v>0</v>
      </c>
      <c r="Q108" s="115">
        <f t="shared" si="49"/>
        <v>0</v>
      </c>
      <c r="R108" s="115">
        <f t="shared" si="49"/>
        <v>0</v>
      </c>
      <c r="S108" s="115">
        <f t="shared" si="49"/>
        <v>0</v>
      </c>
      <c r="T108" s="115">
        <f t="shared" si="49"/>
        <v>0</v>
      </c>
      <c r="U108" s="115">
        <f t="shared" si="49"/>
        <v>0</v>
      </c>
      <c r="V108" s="115">
        <f t="shared" si="49"/>
        <v>0</v>
      </c>
      <c r="W108" s="115">
        <f t="shared" si="49"/>
        <v>0</v>
      </c>
      <c r="X108" s="115">
        <f t="shared" si="49"/>
        <v>0</v>
      </c>
      <c r="Y108" s="115">
        <f t="shared" si="49"/>
        <v>0</v>
      </c>
      <c r="Z108" s="115">
        <f t="shared" si="49"/>
        <v>0</v>
      </c>
      <c r="AA108" s="115">
        <f t="shared" si="49"/>
        <v>0</v>
      </c>
      <c r="AB108" s="115">
        <f t="shared" si="49"/>
        <v>0</v>
      </c>
      <c r="AC108" s="115">
        <f t="shared" si="49"/>
        <v>0</v>
      </c>
      <c r="AD108" s="115">
        <f t="shared" si="49"/>
        <v>0</v>
      </c>
    </row>
    <row r="109" spans="3:30">
      <c r="C109" s="111" t="str">
        <f t="shared" ref="C109:J114" si="50">C58</f>
        <v>H100-4</v>
      </c>
      <c r="D109" s="112">
        <f t="shared" si="50"/>
        <v>32</v>
      </c>
      <c r="E109" s="139" t="str">
        <f t="shared" si="50"/>
        <v>DSAI P1</v>
      </c>
      <c r="F109" s="111" t="str">
        <f t="shared" si="50"/>
        <v>GPU</v>
      </c>
      <c r="G109" s="142">
        <f t="shared" si="50"/>
        <v>2</v>
      </c>
      <c r="H109" s="113">
        <f t="shared" si="50"/>
        <v>0.2</v>
      </c>
      <c r="I109" s="111">
        <f t="shared" si="50"/>
        <v>3424</v>
      </c>
      <c r="J109" s="114">
        <f t="shared" si="50"/>
        <v>128</v>
      </c>
      <c r="K109" s="115">
        <f t="shared" ref="K109:AD109" si="51">IF(AND(ISBLANK(K58),NOT(ISBLANK(L58))),$I58,0)</f>
        <v>0</v>
      </c>
      <c r="L109" s="115">
        <f t="shared" si="51"/>
        <v>0</v>
      </c>
      <c r="M109" s="115">
        <f t="shared" si="51"/>
        <v>3424</v>
      </c>
      <c r="N109" s="115">
        <f t="shared" si="51"/>
        <v>0</v>
      </c>
      <c r="O109" s="115">
        <f t="shared" si="51"/>
        <v>0</v>
      </c>
      <c r="P109" s="115">
        <f t="shared" si="51"/>
        <v>0</v>
      </c>
      <c r="Q109" s="115">
        <f t="shared" si="51"/>
        <v>0</v>
      </c>
      <c r="R109" s="115">
        <f t="shared" si="51"/>
        <v>0</v>
      </c>
      <c r="S109" s="115">
        <f t="shared" si="51"/>
        <v>0</v>
      </c>
      <c r="T109" s="115">
        <f t="shared" si="51"/>
        <v>0</v>
      </c>
      <c r="U109" s="115">
        <f t="shared" si="51"/>
        <v>0</v>
      </c>
      <c r="V109" s="115">
        <f t="shared" si="51"/>
        <v>0</v>
      </c>
      <c r="W109" s="115">
        <f t="shared" si="51"/>
        <v>0</v>
      </c>
      <c r="X109" s="115">
        <f t="shared" si="51"/>
        <v>0</v>
      </c>
      <c r="Y109" s="115">
        <f t="shared" si="51"/>
        <v>0</v>
      </c>
      <c r="Z109" s="115">
        <f t="shared" si="51"/>
        <v>0</v>
      </c>
      <c r="AA109" s="115">
        <f t="shared" si="51"/>
        <v>0</v>
      </c>
      <c r="AB109" s="115">
        <f t="shared" si="51"/>
        <v>0</v>
      </c>
      <c r="AC109" s="115">
        <f t="shared" si="51"/>
        <v>0</v>
      </c>
      <c r="AD109" s="115">
        <f t="shared" si="51"/>
        <v>0</v>
      </c>
    </row>
    <row r="110" spans="3:30">
      <c r="C110" s="111" t="str">
        <f t="shared" si="50"/>
        <v>L40-8</v>
      </c>
      <c r="D110" s="112">
        <f t="shared" si="50"/>
        <v>8</v>
      </c>
      <c r="E110" s="139" t="str">
        <f t="shared" si="50"/>
        <v>DSAI P1</v>
      </c>
      <c r="F110" s="111" t="str">
        <f t="shared" si="50"/>
        <v>GPU</v>
      </c>
      <c r="G110" s="142">
        <f t="shared" si="50"/>
        <v>0.4</v>
      </c>
      <c r="H110" s="113">
        <f t="shared" si="50"/>
        <v>4.0000000000000008E-2</v>
      </c>
      <c r="I110" s="111">
        <f t="shared" si="50"/>
        <v>490.40000000000003</v>
      </c>
      <c r="J110" s="114">
        <f t="shared" si="50"/>
        <v>64</v>
      </c>
      <c r="K110" s="115">
        <f t="shared" ref="K110:AD110" si="52">IF(AND(ISBLANK(K59),NOT(ISBLANK(L59))),$I59,0)</f>
        <v>0</v>
      </c>
      <c r="L110" s="115">
        <f t="shared" si="52"/>
        <v>0</v>
      </c>
      <c r="M110" s="115">
        <f t="shared" si="52"/>
        <v>490.40000000000003</v>
      </c>
      <c r="N110" s="115">
        <f t="shared" si="52"/>
        <v>0</v>
      </c>
      <c r="O110" s="115">
        <f t="shared" si="52"/>
        <v>0</v>
      </c>
      <c r="P110" s="115">
        <f t="shared" si="52"/>
        <v>0</v>
      </c>
      <c r="Q110" s="115">
        <f t="shared" si="52"/>
        <v>0</v>
      </c>
      <c r="R110" s="115">
        <f t="shared" si="52"/>
        <v>0</v>
      </c>
      <c r="S110" s="115">
        <f t="shared" si="52"/>
        <v>0</v>
      </c>
      <c r="T110" s="115">
        <f t="shared" si="52"/>
        <v>0</v>
      </c>
      <c r="U110" s="115">
        <f t="shared" si="52"/>
        <v>0</v>
      </c>
      <c r="V110" s="115">
        <f t="shared" si="52"/>
        <v>0</v>
      </c>
      <c r="W110" s="115">
        <f t="shared" si="52"/>
        <v>0</v>
      </c>
      <c r="X110" s="115">
        <f t="shared" si="52"/>
        <v>0</v>
      </c>
      <c r="Y110" s="115">
        <f t="shared" si="52"/>
        <v>0</v>
      </c>
      <c r="Z110" s="115">
        <f t="shared" si="52"/>
        <v>0</v>
      </c>
      <c r="AA110" s="115">
        <f t="shared" si="52"/>
        <v>0</v>
      </c>
      <c r="AB110" s="115">
        <f t="shared" si="52"/>
        <v>0</v>
      </c>
      <c r="AC110" s="115">
        <f t="shared" si="52"/>
        <v>0</v>
      </c>
      <c r="AD110" s="115">
        <f t="shared" si="52"/>
        <v>0</v>
      </c>
    </row>
    <row r="111" spans="3:30">
      <c r="C111" s="111" t="str">
        <f t="shared" si="50"/>
        <v>HPC1</v>
      </c>
      <c r="D111" s="112">
        <f t="shared" si="50"/>
        <v>80</v>
      </c>
      <c r="E111" s="139" t="str">
        <f t="shared" si="50"/>
        <v>DSAI P1</v>
      </c>
      <c r="F111" s="111" t="str">
        <f t="shared" si="50"/>
        <v>CPU</v>
      </c>
      <c r="G111" s="142">
        <f t="shared" si="50"/>
        <v>0.8</v>
      </c>
      <c r="H111" s="113">
        <f t="shared" si="50"/>
        <v>8.0000000000000016E-2</v>
      </c>
      <c r="I111" s="111">
        <f t="shared" si="50"/>
        <v>800</v>
      </c>
      <c r="J111" s="114">
        <f t="shared" si="50"/>
        <v>10240</v>
      </c>
      <c r="K111" s="115">
        <f t="shared" ref="K111:AD111" si="53">IF(AND(ISBLANK(K60),NOT(ISBLANK(L60))),$I60,0)</f>
        <v>0</v>
      </c>
      <c r="L111" s="115">
        <f t="shared" si="53"/>
        <v>0</v>
      </c>
      <c r="M111" s="115">
        <f t="shared" si="53"/>
        <v>800</v>
      </c>
      <c r="N111" s="115">
        <f t="shared" si="53"/>
        <v>0</v>
      </c>
      <c r="O111" s="115">
        <f t="shared" si="53"/>
        <v>0</v>
      </c>
      <c r="P111" s="115">
        <f t="shared" si="53"/>
        <v>0</v>
      </c>
      <c r="Q111" s="115">
        <f t="shared" si="53"/>
        <v>0</v>
      </c>
      <c r="R111" s="115">
        <f t="shared" si="53"/>
        <v>0</v>
      </c>
      <c r="S111" s="115">
        <f t="shared" si="53"/>
        <v>0</v>
      </c>
      <c r="T111" s="115">
        <f t="shared" si="53"/>
        <v>0</v>
      </c>
      <c r="U111" s="115">
        <f t="shared" si="53"/>
        <v>0</v>
      </c>
      <c r="V111" s="115">
        <f t="shared" si="53"/>
        <v>0</v>
      </c>
      <c r="W111" s="115">
        <f t="shared" si="53"/>
        <v>0</v>
      </c>
      <c r="X111" s="115">
        <f t="shared" si="53"/>
        <v>0</v>
      </c>
      <c r="Y111" s="115">
        <f t="shared" si="53"/>
        <v>0</v>
      </c>
      <c r="Z111" s="115">
        <f t="shared" si="53"/>
        <v>0</v>
      </c>
      <c r="AA111" s="115">
        <f t="shared" si="53"/>
        <v>0</v>
      </c>
      <c r="AB111" s="115">
        <f t="shared" si="53"/>
        <v>0</v>
      </c>
      <c r="AC111" s="115">
        <f t="shared" si="53"/>
        <v>0</v>
      </c>
      <c r="AD111" s="115">
        <f t="shared" si="53"/>
        <v>0</v>
      </c>
    </row>
    <row r="112" spans="3:30">
      <c r="C112" s="111" t="str">
        <f t="shared" si="50"/>
        <v>HDD</v>
      </c>
      <c r="D112" s="112">
        <f t="shared" si="50"/>
        <v>6</v>
      </c>
      <c r="E112" s="139" t="str">
        <f t="shared" si="50"/>
        <v>DSAI P1</v>
      </c>
      <c r="F112" s="111" t="str">
        <f t="shared" si="50"/>
        <v>Hdisk</v>
      </c>
      <c r="G112" s="142">
        <f t="shared" si="50"/>
        <v>4.2857142857142858E-2</v>
      </c>
      <c r="H112" s="113">
        <f t="shared" si="50"/>
        <v>4.2857142857142859E-3</v>
      </c>
      <c r="I112" s="111">
        <f t="shared" si="50"/>
        <v>171.42600000000002</v>
      </c>
      <c r="J112" s="114">
        <f t="shared" si="50"/>
        <v>3.18</v>
      </c>
      <c r="K112" s="115">
        <f t="shared" ref="K112:AD112" si="54">IF(AND(ISBLANK(K61),NOT(ISBLANK(L61))),$I61,0)</f>
        <v>0</v>
      </c>
      <c r="L112" s="115">
        <f t="shared" si="54"/>
        <v>0</v>
      </c>
      <c r="M112" s="115">
        <f t="shared" si="54"/>
        <v>171.42600000000002</v>
      </c>
      <c r="N112" s="115">
        <f t="shared" si="54"/>
        <v>0</v>
      </c>
      <c r="O112" s="115">
        <f t="shared" si="54"/>
        <v>0</v>
      </c>
      <c r="P112" s="115">
        <f t="shared" si="54"/>
        <v>0</v>
      </c>
      <c r="Q112" s="115">
        <f t="shared" si="54"/>
        <v>0</v>
      </c>
      <c r="R112" s="115">
        <f t="shared" si="54"/>
        <v>0</v>
      </c>
      <c r="S112" s="115">
        <f t="shared" si="54"/>
        <v>0</v>
      </c>
      <c r="T112" s="115">
        <f t="shared" si="54"/>
        <v>0</v>
      </c>
      <c r="U112" s="115">
        <f t="shared" si="54"/>
        <v>0</v>
      </c>
      <c r="V112" s="115">
        <f t="shared" si="54"/>
        <v>0</v>
      </c>
      <c r="W112" s="115">
        <f t="shared" si="54"/>
        <v>0</v>
      </c>
      <c r="X112" s="115">
        <f t="shared" si="54"/>
        <v>0</v>
      </c>
      <c r="Y112" s="115">
        <f t="shared" si="54"/>
        <v>0</v>
      </c>
      <c r="Z112" s="115">
        <f t="shared" si="54"/>
        <v>0</v>
      </c>
      <c r="AA112" s="115">
        <f t="shared" si="54"/>
        <v>0</v>
      </c>
      <c r="AB112" s="115">
        <f t="shared" si="54"/>
        <v>0</v>
      </c>
      <c r="AC112" s="115">
        <f t="shared" si="54"/>
        <v>0</v>
      </c>
      <c r="AD112" s="115">
        <f t="shared" si="54"/>
        <v>0</v>
      </c>
    </row>
    <row r="113" spans="3:30">
      <c r="C113" s="111" t="str">
        <f t="shared" si="50"/>
        <v>SSD</v>
      </c>
      <c r="D113" s="112">
        <f t="shared" si="50"/>
        <v>4.5</v>
      </c>
      <c r="E113" s="139" t="str">
        <f t="shared" si="50"/>
        <v>DSAI P1</v>
      </c>
      <c r="F113" s="111" t="str">
        <f t="shared" si="50"/>
        <v>Sdisk</v>
      </c>
      <c r="G113" s="142">
        <f t="shared" si="50"/>
        <v>3.5999999999999997E-2</v>
      </c>
      <c r="H113" s="113">
        <f t="shared" si="50"/>
        <v>3.5999999999999999E-3</v>
      </c>
      <c r="I113" s="111">
        <f t="shared" si="50"/>
        <v>188.99999999999997</v>
      </c>
      <c r="J113" s="114">
        <f t="shared" si="50"/>
        <v>1.3499999999999999</v>
      </c>
      <c r="K113" s="115">
        <f t="shared" ref="K113:AD113" si="55">IF(AND(ISBLANK(K62),NOT(ISBLANK(L62))),$I62,0)</f>
        <v>0</v>
      </c>
      <c r="L113" s="115">
        <f t="shared" si="55"/>
        <v>0</v>
      </c>
      <c r="M113" s="115">
        <f t="shared" si="55"/>
        <v>188.99999999999997</v>
      </c>
      <c r="N113" s="115">
        <f t="shared" si="55"/>
        <v>0</v>
      </c>
      <c r="O113" s="115">
        <f t="shared" si="55"/>
        <v>0</v>
      </c>
      <c r="P113" s="115">
        <f t="shared" si="55"/>
        <v>0</v>
      </c>
      <c r="Q113" s="115">
        <f t="shared" si="55"/>
        <v>0</v>
      </c>
      <c r="R113" s="115">
        <f t="shared" si="55"/>
        <v>0</v>
      </c>
      <c r="S113" s="115">
        <f t="shared" si="55"/>
        <v>0</v>
      </c>
      <c r="T113" s="115">
        <f t="shared" si="55"/>
        <v>0</v>
      </c>
      <c r="U113" s="115">
        <f t="shared" si="55"/>
        <v>0</v>
      </c>
      <c r="V113" s="115">
        <f t="shared" si="55"/>
        <v>0</v>
      </c>
      <c r="W113" s="115">
        <f t="shared" si="55"/>
        <v>0</v>
      </c>
      <c r="X113" s="115">
        <f t="shared" si="55"/>
        <v>0</v>
      </c>
      <c r="Y113" s="115">
        <f t="shared" si="55"/>
        <v>0</v>
      </c>
      <c r="Z113" s="115">
        <f t="shared" si="55"/>
        <v>0</v>
      </c>
      <c r="AA113" s="115">
        <f t="shared" si="55"/>
        <v>0</v>
      </c>
      <c r="AB113" s="115">
        <f t="shared" si="55"/>
        <v>0</v>
      </c>
      <c r="AC113" s="115">
        <f t="shared" si="55"/>
        <v>0</v>
      </c>
      <c r="AD113" s="115">
        <f t="shared" si="55"/>
        <v>0</v>
      </c>
    </row>
    <row r="114" spans="3:30">
      <c r="C114" s="111" t="str">
        <f t="shared" si="50"/>
        <v>H200-8</v>
      </c>
      <c r="D114" s="112">
        <f t="shared" si="50"/>
        <v>8</v>
      </c>
      <c r="E114" s="139" t="str">
        <f t="shared" si="50"/>
        <v>Schmidt</v>
      </c>
      <c r="F114" s="111" t="str">
        <f t="shared" si="50"/>
        <v>GPU</v>
      </c>
      <c r="G114" s="142">
        <f t="shared" si="50"/>
        <v>0.8</v>
      </c>
      <c r="H114" s="113">
        <f t="shared" si="50"/>
        <v>8.0000000000000016E-2</v>
      </c>
      <c r="I114" s="111">
        <f t="shared" si="50"/>
        <v>2200</v>
      </c>
      <c r="J114" s="114">
        <f t="shared" si="50"/>
        <v>64</v>
      </c>
      <c r="K114" s="115">
        <f t="shared" ref="K114" si="56">IF(AND(ISBLANK(K63),NOT(ISBLANK(L63))),$I63,0)</f>
        <v>0</v>
      </c>
      <c r="L114" s="115">
        <f t="shared" ref="L114" si="57">IF(AND(ISBLANK(L63),NOT(ISBLANK(M63))),$I63,0)</f>
        <v>0</v>
      </c>
      <c r="M114" s="115">
        <f t="shared" ref="M114" si="58">IF(AND(ISBLANK(M63),NOT(ISBLANK(N63))),$I63,0)</f>
        <v>0</v>
      </c>
      <c r="N114" s="115">
        <f t="shared" ref="N114" si="59">IF(AND(ISBLANK(N63),NOT(ISBLANK(O63))),$I63,0)</f>
        <v>0</v>
      </c>
      <c r="O114" s="115">
        <f t="shared" ref="O114" si="60">IF(AND(ISBLANK(O63),NOT(ISBLANK(P63))),$I63,0)</f>
        <v>0</v>
      </c>
      <c r="P114" s="115">
        <f t="shared" ref="P114" si="61">IF(AND(ISBLANK(P63),NOT(ISBLANK(Q63))),$I63,0)</f>
        <v>0</v>
      </c>
      <c r="Q114" s="115">
        <f t="shared" ref="Q114" si="62">IF(AND(ISBLANK(Q63),NOT(ISBLANK(R63))),$I63,0)</f>
        <v>2200</v>
      </c>
      <c r="R114" s="115">
        <f t="shared" ref="R114" si="63">IF(AND(ISBLANK(R63),NOT(ISBLANK(S63))),$I63,0)</f>
        <v>0</v>
      </c>
      <c r="S114" s="115">
        <f t="shared" ref="S114" si="64">IF(AND(ISBLANK(S63),NOT(ISBLANK(T63))),$I63,0)</f>
        <v>0</v>
      </c>
      <c r="T114" s="115">
        <f t="shared" ref="T114" si="65">IF(AND(ISBLANK(T63),NOT(ISBLANK(U63))),$I63,0)</f>
        <v>0</v>
      </c>
      <c r="U114" s="115">
        <f t="shared" ref="U114" si="66">IF(AND(ISBLANK(U63),NOT(ISBLANK(V63))),$I63,0)</f>
        <v>0</v>
      </c>
      <c r="V114" s="115">
        <f t="shared" ref="V114" si="67">IF(AND(ISBLANK(V63),NOT(ISBLANK(W63))),$I63,0)</f>
        <v>0</v>
      </c>
      <c r="W114" s="115">
        <f t="shared" ref="W114" si="68">IF(AND(ISBLANK(W63),NOT(ISBLANK(X63))),$I63,0)</f>
        <v>0</v>
      </c>
      <c r="X114" s="115">
        <f t="shared" ref="X114" si="69">IF(AND(ISBLANK(X63),NOT(ISBLANK(Y63))),$I63,0)</f>
        <v>0</v>
      </c>
      <c r="Y114" s="115">
        <f t="shared" ref="Y114" si="70">IF(AND(ISBLANK(Y63),NOT(ISBLANK(Z63))),$I63,0)</f>
        <v>0</v>
      </c>
      <c r="Z114" s="115">
        <f t="shared" ref="Z114" si="71">IF(AND(ISBLANK(Z63),NOT(ISBLANK(AA63))),$I63,0)</f>
        <v>0</v>
      </c>
      <c r="AA114" s="115">
        <f t="shared" ref="AA114" si="72">IF(AND(ISBLANK(AA63),NOT(ISBLANK(AB63))),$I63,0)</f>
        <v>0</v>
      </c>
      <c r="AB114" s="115">
        <f t="shared" ref="AB114" si="73">IF(AND(ISBLANK(AB63),NOT(ISBLANK(AC63))),$I63,0)</f>
        <v>0</v>
      </c>
      <c r="AC114" s="115">
        <f t="shared" ref="AC114" si="74">IF(AND(ISBLANK(AC63),NOT(ISBLANK(AD63))),$I63,0)</f>
        <v>0</v>
      </c>
      <c r="AD114" s="115">
        <f t="shared" ref="AD114" si="75">IF(AND(ISBLANK(AD63),NOT(ISBLANK(AE63))),$I63,0)</f>
        <v>0</v>
      </c>
    </row>
    <row r="115" spans="3:30">
      <c r="C115" s="111" t="str">
        <f t="shared" ref="C115:J115" si="76">C63</f>
        <v>H200-8</v>
      </c>
      <c r="D115" s="112">
        <f t="shared" si="76"/>
        <v>8</v>
      </c>
      <c r="E115" s="139" t="str">
        <f t="shared" si="76"/>
        <v>Schmidt</v>
      </c>
      <c r="F115" s="111" t="str">
        <f t="shared" si="76"/>
        <v>GPU</v>
      </c>
      <c r="G115" s="142">
        <f t="shared" si="76"/>
        <v>0.8</v>
      </c>
      <c r="H115" s="113">
        <f t="shared" si="76"/>
        <v>8.0000000000000016E-2</v>
      </c>
      <c r="I115" s="111">
        <f t="shared" si="76"/>
        <v>2200</v>
      </c>
      <c r="J115" s="114">
        <f t="shared" si="76"/>
        <v>64</v>
      </c>
      <c r="K115" s="115">
        <f t="shared" ref="K115:AD115" si="77">IF(AND(ISBLANK(K63),NOT(ISBLANK(L63))),$I63,0)</f>
        <v>0</v>
      </c>
      <c r="L115" s="115">
        <f t="shared" si="77"/>
        <v>0</v>
      </c>
      <c r="M115" s="115">
        <f t="shared" si="77"/>
        <v>0</v>
      </c>
      <c r="N115" s="115">
        <f t="shared" si="77"/>
        <v>0</v>
      </c>
      <c r="O115" s="115">
        <f t="shared" si="77"/>
        <v>0</v>
      </c>
      <c r="P115" s="115">
        <f t="shared" si="77"/>
        <v>0</v>
      </c>
      <c r="Q115" s="115">
        <f t="shared" si="77"/>
        <v>2200</v>
      </c>
      <c r="R115" s="115">
        <f t="shared" si="77"/>
        <v>0</v>
      </c>
      <c r="S115" s="115">
        <f t="shared" si="77"/>
        <v>0</v>
      </c>
      <c r="T115" s="115">
        <f t="shared" si="77"/>
        <v>0</v>
      </c>
      <c r="U115" s="115">
        <f t="shared" si="77"/>
        <v>0</v>
      </c>
      <c r="V115" s="115">
        <f t="shared" si="77"/>
        <v>0</v>
      </c>
      <c r="W115" s="115">
        <f t="shared" si="77"/>
        <v>0</v>
      </c>
      <c r="X115" s="115">
        <f t="shared" si="77"/>
        <v>0</v>
      </c>
      <c r="Y115" s="115">
        <f t="shared" si="77"/>
        <v>0</v>
      </c>
      <c r="Z115" s="115">
        <f t="shared" si="77"/>
        <v>0</v>
      </c>
      <c r="AA115" s="115">
        <f t="shared" si="77"/>
        <v>0</v>
      </c>
      <c r="AB115" s="115">
        <f t="shared" si="77"/>
        <v>0</v>
      </c>
      <c r="AC115" s="115">
        <f t="shared" si="77"/>
        <v>0</v>
      </c>
      <c r="AD115" s="115">
        <f t="shared" si="77"/>
        <v>0</v>
      </c>
    </row>
    <row r="116" spans="3:30">
      <c r="C116" s="111" t="str">
        <f>C64</f>
        <v>HDD</v>
      </c>
      <c r="D116" s="112">
        <f t="shared" ref="D116:J116" si="78">D64</f>
        <v>16</v>
      </c>
      <c r="E116" s="139" t="str">
        <f t="shared" si="78"/>
        <v>Schmidt</v>
      </c>
      <c r="F116" s="111" t="str">
        <f t="shared" si="78"/>
        <v>Hdisk</v>
      </c>
      <c r="G116" s="142">
        <f t="shared" si="78"/>
        <v>0.11428571428571428</v>
      </c>
      <c r="H116" s="113">
        <f t="shared" si="78"/>
        <v>1.1428571428571429E-2</v>
      </c>
      <c r="I116" s="111">
        <f t="shared" si="78"/>
        <v>457.13599999999997</v>
      </c>
      <c r="J116" s="114">
        <f t="shared" si="78"/>
        <v>8.48</v>
      </c>
      <c r="K116" s="115">
        <f t="shared" ref="K116:AD116" si="79">IF(AND(ISBLANK(K64),NOT(ISBLANK(L64))),$I64,0)</f>
        <v>0</v>
      </c>
      <c r="L116" s="115">
        <f t="shared" si="79"/>
        <v>0</v>
      </c>
      <c r="M116" s="115">
        <f t="shared" si="79"/>
        <v>0</v>
      </c>
      <c r="N116" s="115">
        <f t="shared" si="79"/>
        <v>0</v>
      </c>
      <c r="O116" s="115">
        <f t="shared" si="79"/>
        <v>0</v>
      </c>
      <c r="P116" s="115">
        <f t="shared" si="79"/>
        <v>0</v>
      </c>
      <c r="Q116" s="115">
        <f t="shared" si="79"/>
        <v>457.13599999999997</v>
      </c>
      <c r="R116" s="115">
        <f t="shared" si="79"/>
        <v>0</v>
      </c>
      <c r="S116" s="115">
        <f t="shared" si="79"/>
        <v>0</v>
      </c>
      <c r="T116" s="115">
        <f t="shared" si="79"/>
        <v>0</v>
      </c>
      <c r="U116" s="115">
        <f t="shared" si="79"/>
        <v>0</v>
      </c>
      <c r="V116" s="115">
        <f t="shared" si="79"/>
        <v>0</v>
      </c>
      <c r="W116" s="115">
        <f t="shared" si="79"/>
        <v>0</v>
      </c>
      <c r="X116" s="115">
        <f t="shared" si="79"/>
        <v>0</v>
      </c>
      <c r="Y116" s="115">
        <f t="shared" si="79"/>
        <v>0</v>
      </c>
      <c r="Z116" s="115">
        <f t="shared" si="79"/>
        <v>0</v>
      </c>
      <c r="AA116" s="115">
        <f t="shared" si="79"/>
        <v>0</v>
      </c>
      <c r="AB116" s="115">
        <f t="shared" si="79"/>
        <v>0</v>
      </c>
      <c r="AC116" s="115">
        <f t="shared" si="79"/>
        <v>0</v>
      </c>
      <c r="AD116" s="115">
        <f t="shared" si="79"/>
        <v>0</v>
      </c>
    </row>
    <row r="117" spans="3:30">
      <c r="C117" s="111" t="str">
        <f t="shared" ref="C117:J117" si="80">C65</f>
        <v>SSD</v>
      </c>
      <c r="D117" s="112">
        <f t="shared" si="80"/>
        <v>5</v>
      </c>
      <c r="E117" s="139" t="str">
        <f t="shared" si="80"/>
        <v>Schmidt</v>
      </c>
      <c r="F117" s="111" t="str">
        <f t="shared" si="80"/>
        <v>Sdisk</v>
      </c>
      <c r="G117" s="142">
        <f t="shared" si="80"/>
        <v>0.04</v>
      </c>
      <c r="H117" s="113">
        <f t="shared" si="80"/>
        <v>4.0000000000000001E-3</v>
      </c>
      <c r="I117" s="111">
        <f t="shared" si="80"/>
        <v>210</v>
      </c>
      <c r="J117" s="114">
        <f t="shared" si="80"/>
        <v>1.5</v>
      </c>
      <c r="K117" s="115">
        <f t="shared" ref="K117:AD117" si="81">IF(AND(ISBLANK(K65),NOT(ISBLANK(L65))),$I65,0)</f>
        <v>0</v>
      </c>
      <c r="L117" s="115">
        <f t="shared" si="81"/>
        <v>0</v>
      </c>
      <c r="M117" s="115">
        <f t="shared" si="81"/>
        <v>0</v>
      </c>
      <c r="N117" s="115">
        <f t="shared" si="81"/>
        <v>0</v>
      </c>
      <c r="O117" s="115">
        <f t="shared" si="81"/>
        <v>0</v>
      </c>
      <c r="P117" s="115">
        <f t="shared" si="81"/>
        <v>0</v>
      </c>
      <c r="Q117" s="115">
        <f t="shared" si="81"/>
        <v>210</v>
      </c>
      <c r="R117" s="115">
        <f t="shared" si="81"/>
        <v>0</v>
      </c>
      <c r="S117" s="115">
        <f t="shared" si="81"/>
        <v>0</v>
      </c>
      <c r="T117" s="115">
        <f t="shared" si="81"/>
        <v>0</v>
      </c>
      <c r="U117" s="115">
        <f t="shared" si="81"/>
        <v>0</v>
      </c>
      <c r="V117" s="115">
        <f t="shared" si="81"/>
        <v>0</v>
      </c>
      <c r="W117" s="115">
        <f t="shared" si="81"/>
        <v>0</v>
      </c>
      <c r="X117" s="115">
        <f t="shared" si="81"/>
        <v>0</v>
      </c>
      <c r="Y117" s="115">
        <f t="shared" si="81"/>
        <v>0</v>
      </c>
      <c r="Z117" s="115">
        <f t="shared" si="81"/>
        <v>0</v>
      </c>
      <c r="AA117" s="115">
        <f t="shared" si="81"/>
        <v>0</v>
      </c>
      <c r="AB117" s="115">
        <f t="shared" si="81"/>
        <v>0</v>
      </c>
      <c r="AC117" s="115">
        <f t="shared" si="81"/>
        <v>0</v>
      </c>
      <c r="AD117" s="115">
        <f t="shared" si="81"/>
        <v>0</v>
      </c>
    </row>
    <row r="118" spans="3:30">
      <c r="C118" s="111" t="str">
        <f t="shared" ref="C118:J118" si="82">C66</f>
        <v>H200-8</v>
      </c>
      <c r="D118" s="112"/>
      <c r="E118" s="139" t="str">
        <f t="shared" si="82"/>
        <v>Schmidt</v>
      </c>
      <c r="F118" s="111" t="str">
        <f t="shared" si="82"/>
        <v>GPU</v>
      </c>
      <c r="G118" s="142">
        <f t="shared" si="82"/>
        <v>0.4</v>
      </c>
      <c r="H118" s="113">
        <f t="shared" si="82"/>
        <v>4.0000000000000008E-2</v>
      </c>
      <c r="I118" s="111">
        <f t="shared" si="82"/>
        <v>1100</v>
      </c>
      <c r="J118" s="114">
        <f t="shared" si="82"/>
        <v>32</v>
      </c>
      <c r="K118" s="115">
        <f t="shared" ref="K118:AD118" si="83">IF(AND(ISBLANK(K66),NOT(ISBLANK(L66))),$I66,0)</f>
        <v>0</v>
      </c>
      <c r="L118" s="115">
        <f t="shared" si="83"/>
        <v>0</v>
      </c>
      <c r="M118" s="115">
        <f t="shared" si="83"/>
        <v>0</v>
      </c>
      <c r="N118" s="115">
        <f t="shared" si="83"/>
        <v>0</v>
      </c>
      <c r="O118" s="115">
        <f t="shared" si="83"/>
        <v>0</v>
      </c>
      <c r="P118" s="115">
        <f t="shared" si="83"/>
        <v>0</v>
      </c>
      <c r="Q118" s="115">
        <f t="shared" si="83"/>
        <v>1100</v>
      </c>
      <c r="R118" s="115">
        <f t="shared" ref="R118:AB118" si="84">IF(AND(ISBLANK(R66),NOT(ISBLANK(S66))),$I66,0)</f>
        <v>0</v>
      </c>
      <c r="S118" s="115">
        <f t="shared" si="84"/>
        <v>0</v>
      </c>
      <c r="T118" s="115">
        <f t="shared" si="84"/>
        <v>0</v>
      </c>
      <c r="U118" s="115">
        <f t="shared" si="84"/>
        <v>0</v>
      </c>
      <c r="V118" s="115">
        <f t="shared" si="84"/>
        <v>0</v>
      </c>
      <c r="W118" s="115">
        <f t="shared" si="84"/>
        <v>0</v>
      </c>
      <c r="X118" s="115">
        <f t="shared" si="84"/>
        <v>0</v>
      </c>
      <c r="Y118" s="115">
        <f t="shared" si="84"/>
        <v>0</v>
      </c>
      <c r="Z118" s="115">
        <f t="shared" si="84"/>
        <v>0</v>
      </c>
      <c r="AA118" s="115">
        <f t="shared" si="84"/>
        <v>0</v>
      </c>
      <c r="AB118" s="115">
        <f t="shared" si="84"/>
        <v>0</v>
      </c>
      <c r="AC118" s="115">
        <f t="shared" si="83"/>
        <v>0</v>
      </c>
      <c r="AD118" s="115">
        <f t="shared" si="83"/>
        <v>0</v>
      </c>
    </row>
    <row r="119" spans="3:30">
      <c r="C119" s="111" t="str">
        <f t="shared" ref="C119:J119" si="85">C67</f>
        <v>HPC1</v>
      </c>
      <c r="D119" s="112">
        <f t="shared" si="85"/>
        <v>0</v>
      </c>
      <c r="E119" s="139">
        <f t="shared" si="85"/>
        <v>0</v>
      </c>
      <c r="F119" s="111" t="str">
        <f t="shared" si="85"/>
        <v>CPU</v>
      </c>
      <c r="G119" s="142">
        <f t="shared" si="85"/>
        <v>0</v>
      </c>
      <c r="H119" s="113">
        <f t="shared" si="85"/>
        <v>0</v>
      </c>
      <c r="I119" s="111">
        <f t="shared" si="85"/>
        <v>0</v>
      </c>
      <c r="J119" s="114">
        <f t="shared" si="85"/>
        <v>0</v>
      </c>
      <c r="K119" s="115">
        <f t="shared" ref="K119:AD119" si="86">IF(AND(ISBLANK(K67),NOT(ISBLANK(L67))),$I67,0)</f>
        <v>0</v>
      </c>
      <c r="L119" s="115">
        <f t="shared" si="86"/>
        <v>0</v>
      </c>
      <c r="M119" s="115">
        <f t="shared" si="86"/>
        <v>0</v>
      </c>
      <c r="N119" s="115">
        <f t="shared" si="86"/>
        <v>0</v>
      </c>
      <c r="O119" s="115">
        <f t="shared" si="86"/>
        <v>0</v>
      </c>
      <c r="P119" s="115">
        <f t="shared" si="86"/>
        <v>0</v>
      </c>
      <c r="Q119" s="115">
        <f t="shared" si="86"/>
        <v>0</v>
      </c>
      <c r="R119" s="115">
        <f t="shared" si="86"/>
        <v>0</v>
      </c>
      <c r="S119" s="115">
        <f t="shared" si="86"/>
        <v>0</v>
      </c>
      <c r="T119" s="115">
        <f t="shared" si="86"/>
        <v>0</v>
      </c>
      <c r="U119" s="115">
        <f t="shared" si="86"/>
        <v>0</v>
      </c>
      <c r="V119" s="115">
        <f t="shared" si="86"/>
        <v>0</v>
      </c>
      <c r="W119" s="115">
        <f t="shared" si="86"/>
        <v>0</v>
      </c>
      <c r="X119" s="115">
        <f t="shared" si="86"/>
        <v>0</v>
      </c>
      <c r="Y119" s="115">
        <f t="shared" si="86"/>
        <v>0</v>
      </c>
      <c r="Z119" s="115">
        <f t="shared" si="86"/>
        <v>0</v>
      </c>
      <c r="AA119" s="115">
        <f t="shared" si="86"/>
        <v>0</v>
      </c>
      <c r="AB119" s="115">
        <f t="shared" si="86"/>
        <v>0</v>
      </c>
      <c r="AC119" s="115">
        <f t="shared" si="86"/>
        <v>0</v>
      </c>
      <c r="AD119" s="115">
        <f t="shared" si="86"/>
        <v>0</v>
      </c>
    </row>
    <row r="120" spans="3:30">
      <c r="C120" s="111" t="str">
        <f t="shared" ref="C120:J120" si="87">C68</f>
        <v>--</v>
      </c>
      <c r="D120" s="112">
        <f t="shared" si="87"/>
        <v>0</v>
      </c>
      <c r="E120" s="139">
        <f t="shared" si="87"/>
        <v>0</v>
      </c>
      <c r="F120" s="111" t="str">
        <f t="shared" si="87"/>
        <v xml:space="preserve"> </v>
      </c>
      <c r="G120" s="142" t="str">
        <f t="shared" si="87"/>
        <v xml:space="preserve"> </v>
      </c>
      <c r="H120" s="113" t="str">
        <f t="shared" si="87"/>
        <v xml:space="preserve"> </v>
      </c>
      <c r="I120" s="111" t="str">
        <f t="shared" si="87"/>
        <v xml:space="preserve"> </v>
      </c>
      <c r="J120" s="114" t="str">
        <f t="shared" si="87"/>
        <v xml:space="preserve"> </v>
      </c>
      <c r="K120" s="115">
        <f t="shared" ref="K120:AD120" si="88">IF(AND(ISBLANK(K68),NOT(ISBLANK(L68))),$I68,0)</f>
        <v>0</v>
      </c>
      <c r="L120" s="115">
        <f t="shared" si="88"/>
        <v>0</v>
      </c>
      <c r="M120" s="115">
        <f t="shared" si="88"/>
        <v>0</v>
      </c>
      <c r="N120" s="115">
        <f t="shared" si="88"/>
        <v>0</v>
      </c>
      <c r="O120" s="115">
        <f t="shared" si="88"/>
        <v>0</v>
      </c>
      <c r="P120" s="115">
        <f t="shared" si="88"/>
        <v>0</v>
      </c>
      <c r="Q120" s="115">
        <f t="shared" si="88"/>
        <v>0</v>
      </c>
      <c r="R120" s="115" t="str">
        <f t="shared" si="88"/>
        <v xml:space="preserve"> </v>
      </c>
      <c r="S120" s="115">
        <f t="shared" si="88"/>
        <v>0</v>
      </c>
      <c r="T120" s="115">
        <f t="shared" si="88"/>
        <v>0</v>
      </c>
      <c r="U120" s="115">
        <f t="shared" si="88"/>
        <v>0</v>
      </c>
      <c r="V120" s="115">
        <f t="shared" si="88"/>
        <v>0</v>
      </c>
      <c r="W120" s="115">
        <f t="shared" si="88"/>
        <v>0</v>
      </c>
      <c r="X120" s="115">
        <f t="shared" si="88"/>
        <v>0</v>
      </c>
      <c r="Y120" s="115">
        <f t="shared" si="88"/>
        <v>0</v>
      </c>
      <c r="Z120" s="115">
        <f t="shared" si="88"/>
        <v>0</v>
      </c>
      <c r="AA120" s="115">
        <f t="shared" si="88"/>
        <v>0</v>
      </c>
      <c r="AB120" s="115">
        <f t="shared" si="88"/>
        <v>0</v>
      </c>
      <c r="AC120" s="115">
        <f t="shared" si="88"/>
        <v>0</v>
      </c>
      <c r="AD120" s="115">
        <f t="shared" si="88"/>
        <v>0</v>
      </c>
    </row>
    <row r="121" spans="3:30">
      <c r="C121" s="111" t="str">
        <f t="shared" ref="C121:J121" si="89">C69</f>
        <v>--</v>
      </c>
      <c r="D121" s="112">
        <f t="shared" si="89"/>
        <v>0</v>
      </c>
      <c r="E121" s="139">
        <f t="shared" si="89"/>
        <v>0</v>
      </c>
      <c r="F121" s="111" t="str">
        <f t="shared" si="89"/>
        <v xml:space="preserve"> </v>
      </c>
      <c r="G121" s="142" t="str">
        <f t="shared" si="89"/>
        <v xml:space="preserve"> </v>
      </c>
      <c r="H121" s="113" t="str">
        <f t="shared" si="89"/>
        <v xml:space="preserve"> </v>
      </c>
      <c r="I121" s="111" t="str">
        <f t="shared" si="89"/>
        <v xml:space="preserve"> </v>
      </c>
      <c r="J121" s="114" t="str">
        <f t="shared" si="89"/>
        <v xml:space="preserve"> </v>
      </c>
      <c r="K121" s="115">
        <f t="shared" ref="K121:AD121" si="90">IF(AND(ISBLANK(K69),NOT(ISBLANK(L69))),$I69,0)</f>
        <v>0</v>
      </c>
      <c r="L121" s="115">
        <f t="shared" si="90"/>
        <v>0</v>
      </c>
      <c r="M121" s="115">
        <f t="shared" si="90"/>
        <v>0</v>
      </c>
      <c r="N121" s="115">
        <f t="shared" si="90"/>
        <v>0</v>
      </c>
      <c r="O121" s="115">
        <f t="shared" si="90"/>
        <v>0</v>
      </c>
      <c r="P121" s="115">
        <f t="shared" si="90"/>
        <v>0</v>
      </c>
      <c r="Q121" s="115">
        <f t="shared" si="90"/>
        <v>0</v>
      </c>
      <c r="R121" s="115" t="str">
        <f t="shared" si="90"/>
        <v xml:space="preserve"> </v>
      </c>
      <c r="S121" s="115">
        <f t="shared" si="90"/>
        <v>0</v>
      </c>
      <c r="T121" s="115">
        <f t="shared" si="90"/>
        <v>0</v>
      </c>
      <c r="U121" s="115">
        <f t="shared" si="90"/>
        <v>0</v>
      </c>
      <c r="V121" s="115">
        <f t="shared" si="90"/>
        <v>0</v>
      </c>
      <c r="W121" s="115">
        <f t="shared" si="90"/>
        <v>0</v>
      </c>
      <c r="X121" s="115">
        <f t="shared" si="90"/>
        <v>0</v>
      </c>
      <c r="Y121" s="115">
        <f t="shared" si="90"/>
        <v>0</v>
      </c>
      <c r="Z121" s="115">
        <f t="shared" si="90"/>
        <v>0</v>
      </c>
      <c r="AA121" s="115">
        <f t="shared" si="90"/>
        <v>0</v>
      </c>
      <c r="AB121" s="115">
        <f t="shared" si="90"/>
        <v>0</v>
      </c>
      <c r="AC121" s="115">
        <f t="shared" si="90"/>
        <v>0</v>
      </c>
      <c r="AD121" s="115">
        <f t="shared" si="90"/>
        <v>0</v>
      </c>
    </row>
    <row r="122" spans="3:30">
      <c r="C122" s="111" t="str">
        <f>C70</f>
        <v>--</v>
      </c>
      <c r="D122" s="112">
        <f>D70</f>
        <v>0</v>
      </c>
      <c r="E122" s="139">
        <f t="shared" ref="E122:J122" si="91">E70</f>
        <v>0</v>
      </c>
      <c r="F122" s="111" t="str">
        <f t="shared" si="91"/>
        <v xml:space="preserve"> </v>
      </c>
      <c r="G122" s="142" t="str">
        <f t="shared" si="91"/>
        <v xml:space="preserve"> </v>
      </c>
      <c r="H122" s="113" t="str">
        <f t="shared" si="91"/>
        <v xml:space="preserve"> </v>
      </c>
      <c r="I122" s="111" t="str">
        <f t="shared" si="91"/>
        <v xml:space="preserve"> </v>
      </c>
      <c r="J122" s="114" t="str">
        <f t="shared" si="91"/>
        <v xml:space="preserve"> </v>
      </c>
      <c r="K122" s="115">
        <f t="shared" ref="K122:AD122" si="92">IF(AND(ISBLANK(K70),NOT(ISBLANK(L70))),$I70,0)</f>
        <v>0</v>
      </c>
      <c r="L122" s="115">
        <f t="shared" si="92"/>
        <v>0</v>
      </c>
      <c r="M122" s="115">
        <f t="shared" si="92"/>
        <v>0</v>
      </c>
      <c r="N122" s="115">
        <f t="shared" si="92"/>
        <v>0</v>
      </c>
      <c r="O122" s="115">
        <f t="shared" si="92"/>
        <v>0</v>
      </c>
      <c r="P122" s="115">
        <f t="shared" si="92"/>
        <v>0</v>
      </c>
      <c r="Q122" s="115">
        <f t="shared" si="92"/>
        <v>0</v>
      </c>
      <c r="R122" s="115" t="str">
        <f t="shared" si="92"/>
        <v xml:space="preserve"> </v>
      </c>
      <c r="S122" s="115">
        <f t="shared" si="92"/>
        <v>0</v>
      </c>
      <c r="T122" s="115">
        <f t="shared" si="92"/>
        <v>0</v>
      </c>
      <c r="U122" s="115">
        <f t="shared" si="92"/>
        <v>0</v>
      </c>
      <c r="V122" s="115">
        <f t="shared" si="92"/>
        <v>0</v>
      </c>
      <c r="W122" s="115">
        <f t="shared" si="92"/>
        <v>0</v>
      </c>
      <c r="X122" s="115">
        <f t="shared" si="92"/>
        <v>0</v>
      </c>
      <c r="Y122" s="115">
        <f t="shared" si="92"/>
        <v>0</v>
      </c>
      <c r="Z122" s="115">
        <f t="shared" si="92"/>
        <v>0</v>
      </c>
      <c r="AA122" s="115">
        <f t="shared" si="92"/>
        <v>0</v>
      </c>
      <c r="AB122" s="115">
        <f t="shared" si="92"/>
        <v>0</v>
      </c>
      <c r="AC122" s="115">
        <f t="shared" si="92"/>
        <v>0</v>
      </c>
      <c r="AD122" s="115">
        <f t="shared" si="92"/>
        <v>0</v>
      </c>
    </row>
    <row r="123" spans="3:30">
      <c r="C123" s="111" t="str">
        <f t="shared" ref="C123:J123" si="93">C71</f>
        <v>--</v>
      </c>
      <c r="D123" s="112" t="str">
        <f t="shared" si="93"/>
        <v xml:space="preserve"> </v>
      </c>
      <c r="E123" s="139">
        <f t="shared" si="93"/>
        <v>0</v>
      </c>
      <c r="F123" s="111" t="str">
        <f t="shared" si="93"/>
        <v xml:space="preserve"> </v>
      </c>
      <c r="G123" s="142" t="str">
        <f t="shared" si="93"/>
        <v xml:space="preserve"> </v>
      </c>
      <c r="H123" s="113" t="str">
        <f t="shared" si="93"/>
        <v xml:space="preserve"> </v>
      </c>
      <c r="I123" s="111" t="str">
        <f t="shared" si="93"/>
        <v xml:space="preserve"> </v>
      </c>
      <c r="J123" s="114" t="str">
        <f t="shared" si="93"/>
        <v xml:space="preserve"> </v>
      </c>
      <c r="K123" s="115">
        <f t="shared" ref="K123:AD123" si="94">IF(AND(ISBLANK(K71),NOT(ISBLANK(L71))),$I71,0)</f>
        <v>0</v>
      </c>
      <c r="L123" s="115">
        <f t="shared" si="94"/>
        <v>0</v>
      </c>
      <c r="M123" s="115">
        <f t="shared" si="94"/>
        <v>0</v>
      </c>
      <c r="N123" s="115">
        <f t="shared" si="94"/>
        <v>0</v>
      </c>
      <c r="O123" s="115">
        <f t="shared" si="94"/>
        <v>0</v>
      </c>
      <c r="P123" s="115">
        <f t="shared" si="94"/>
        <v>0</v>
      </c>
      <c r="Q123" s="115">
        <f t="shared" si="94"/>
        <v>0</v>
      </c>
      <c r="R123" s="115">
        <f t="shared" si="94"/>
        <v>0</v>
      </c>
      <c r="S123" s="115">
        <f t="shared" si="94"/>
        <v>0</v>
      </c>
      <c r="T123" s="115">
        <f t="shared" si="94"/>
        <v>0</v>
      </c>
      <c r="U123" s="115">
        <f t="shared" si="94"/>
        <v>0</v>
      </c>
      <c r="V123" s="115">
        <f t="shared" si="94"/>
        <v>0</v>
      </c>
      <c r="W123" s="115">
        <f t="shared" si="94"/>
        <v>0</v>
      </c>
      <c r="X123" s="115">
        <f t="shared" si="94"/>
        <v>0</v>
      </c>
      <c r="Y123" s="115">
        <f t="shared" si="94"/>
        <v>0</v>
      </c>
      <c r="Z123" s="115">
        <f t="shared" si="94"/>
        <v>0</v>
      </c>
      <c r="AA123" s="115">
        <f t="shared" si="94"/>
        <v>0</v>
      </c>
      <c r="AB123" s="115">
        <f t="shared" si="94"/>
        <v>0</v>
      </c>
      <c r="AC123" s="115">
        <f t="shared" si="94"/>
        <v>0</v>
      </c>
      <c r="AD123" s="115">
        <f t="shared" si="94"/>
        <v>0</v>
      </c>
    </row>
    <row r="124" spans="3:30">
      <c r="C124" s="111" t="str">
        <f t="shared" ref="C124:J124" si="95">C72</f>
        <v>--</v>
      </c>
      <c r="D124" s="112" t="str">
        <f t="shared" si="95"/>
        <v xml:space="preserve"> </v>
      </c>
      <c r="E124" s="139" t="str">
        <f t="shared" si="95"/>
        <v xml:space="preserve"> </v>
      </c>
      <c r="F124" s="111" t="str">
        <f t="shared" si="95"/>
        <v xml:space="preserve"> </v>
      </c>
      <c r="G124" s="142" t="str">
        <f t="shared" si="95"/>
        <v xml:space="preserve"> </v>
      </c>
      <c r="H124" s="113" t="str">
        <f t="shared" si="95"/>
        <v xml:space="preserve"> </v>
      </c>
      <c r="I124" s="111" t="str">
        <f t="shared" si="95"/>
        <v xml:space="preserve"> </v>
      </c>
      <c r="J124" s="114" t="str">
        <f t="shared" si="95"/>
        <v xml:space="preserve"> </v>
      </c>
      <c r="K124" s="115">
        <f t="shared" ref="K124:AD124" si="96">IF(AND(ISBLANK(K72),NOT(ISBLANK(L72))),$I72,0)</f>
        <v>0</v>
      </c>
      <c r="L124" s="115">
        <f t="shared" si="96"/>
        <v>0</v>
      </c>
      <c r="M124" s="115">
        <f t="shared" si="96"/>
        <v>0</v>
      </c>
      <c r="N124" s="115">
        <f t="shared" si="96"/>
        <v>0</v>
      </c>
      <c r="O124" s="115">
        <f t="shared" si="96"/>
        <v>0</v>
      </c>
      <c r="P124" s="115">
        <f t="shared" si="96"/>
        <v>0</v>
      </c>
      <c r="Q124" s="115">
        <f t="shared" si="96"/>
        <v>0</v>
      </c>
      <c r="R124" s="115">
        <f t="shared" si="96"/>
        <v>0</v>
      </c>
      <c r="S124" s="115">
        <f t="shared" si="96"/>
        <v>0</v>
      </c>
      <c r="T124" s="115">
        <f t="shared" si="96"/>
        <v>0</v>
      </c>
      <c r="U124" s="115">
        <f t="shared" si="96"/>
        <v>0</v>
      </c>
      <c r="V124" s="115">
        <f t="shared" si="96"/>
        <v>0</v>
      </c>
      <c r="W124" s="115">
        <f t="shared" si="96"/>
        <v>0</v>
      </c>
      <c r="X124" s="115">
        <f t="shared" si="96"/>
        <v>0</v>
      </c>
      <c r="Y124" s="115">
        <f t="shared" si="96"/>
        <v>0</v>
      </c>
      <c r="Z124" s="115">
        <f t="shared" si="96"/>
        <v>0</v>
      </c>
      <c r="AA124" s="115">
        <f t="shared" si="96"/>
        <v>0</v>
      </c>
      <c r="AB124" s="115">
        <f t="shared" si="96"/>
        <v>0</v>
      </c>
      <c r="AC124" s="115">
        <f t="shared" si="96"/>
        <v>0</v>
      </c>
      <c r="AD124" s="115">
        <f t="shared" si="96"/>
        <v>0</v>
      </c>
    </row>
    <row r="125" spans="3:30">
      <c r="C125" s="111" t="str">
        <f t="shared" ref="C125:J125" si="97">C73</f>
        <v>HPC1</v>
      </c>
      <c r="D125" s="112">
        <f t="shared" si="97"/>
        <v>200</v>
      </c>
      <c r="E125" s="139" t="str">
        <f t="shared" si="97"/>
        <v>ARCH-2(*)</v>
      </c>
      <c r="F125" s="111" t="str">
        <f t="shared" si="97"/>
        <v>CPU</v>
      </c>
      <c r="G125" s="142">
        <f t="shared" si="97"/>
        <v>2</v>
      </c>
      <c r="H125" s="113">
        <f t="shared" si="97"/>
        <v>0.2</v>
      </c>
      <c r="I125" s="111">
        <f t="shared" si="97"/>
        <v>2000</v>
      </c>
      <c r="J125" s="114">
        <f t="shared" si="97"/>
        <v>25600</v>
      </c>
      <c r="K125" s="115">
        <f t="shared" ref="K125:K128" si="98">IF(AND(ISBLANK(K73),NOT(ISBLANK(L73))),$I73,0)</f>
        <v>0</v>
      </c>
      <c r="L125" s="115">
        <f t="shared" ref="L125:L128" si="99">IF(AND(ISBLANK(L73),NOT(ISBLANK(M73))),$I73,0)</f>
        <v>0</v>
      </c>
      <c r="M125" s="115">
        <f t="shared" ref="M125:M128" si="100">IF(AND(ISBLANK(M73),NOT(ISBLANK(N73))),$I73,0)</f>
        <v>0</v>
      </c>
      <c r="N125" s="115">
        <f t="shared" ref="N125:N128" si="101">IF(AND(ISBLANK(N73),NOT(ISBLANK(O73))),$I73,0)</f>
        <v>0</v>
      </c>
      <c r="O125" s="115">
        <f t="shared" ref="O125:O128" si="102">IF(AND(ISBLANK(O73),NOT(ISBLANK(P73))),$I73,0)</f>
        <v>0</v>
      </c>
      <c r="P125" s="115">
        <f t="shared" ref="P125:P128" si="103">IF(AND(ISBLANK(P73),NOT(ISBLANK(Q73))),$I73,0)</f>
        <v>0</v>
      </c>
      <c r="Q125" s="115">
        <f t="shared" ref="Q125:Q128" si="104">IF(AND(ISBLANK(Q73),NOT(ISBLANK(R73))),$I73,0)</f>
        <v>0</v>
      </c>
      <c r="R125" s="115">
        <f t="shared" ref="R125:R128" si="105">IF(AND(ISBLANK(R73),NOT(ISBLANK(S73))),$I73,0)</f>
        <v>0</v>
      </c>
      <c r="S125" s="115">
        <f t="shared" ref="S125:S128" si="106">IF(AND(ISBLANK(S73),NOT(ISBLANK(T73))),$I73,0)</f>
        <v>0</v>
      </c>
      <c r="T125" s="115">
        <f t="shared" ref="T125:T128" si="107">IF(AND(ISBLANK(T73),NOT(ISBLANK(U73))),$I73,0)</f>
        <v>0</v>
      </c>
      <c r="U125" s="115">
        <f t="shared" ref="U125:U128" si="108">IF(AND(ISBLANK(U73),NOT(ISBLANK(V73))),$I73,0)</f>
        <v>0</v>
      </c>
      <c r="V125" s="115">
        <f t="shared" ref="V125:V128" si="109">IF(AND(ISBLANK(V73),NOT(ISBLANK(W73))),$I73,0)</f>
        <v>0</v>
      </c>
      <c r="W125" s="115">
        <f t="shared" ref="W125:W128" si="110">IF(AND(ISBLANK(W73),NOT(ISBLANK(X73))),$I73,0)</f>
        <v>0</v>
      </c>
      <c r="X125" s="115">
        <f t="shared" ref="X125:X128" si="111">IF(AND(ISBLANK(X73),NOT(ISBLANK(Y73))),$I73,0)</f>
        <v>0</v>
      </c>
      <c r="Y125" s="115">
        <f t="shared" ref="Y125:Y128" si="112">IF(AND(ISBLANK(Y73),NOT(ISBLANK(Z73))),$I73,0)</f>
        <v>0</v>
      </c>
      <c r="Z125" s="115">
        <f t="shared" ref="Z125:Z128" si="113">IF(AND(ISBLANK(Z73),NOT(ISBLANK(AA73))),$I73,0)</f>
        <v>0</v>
      </c>
      <c r="AA125" s="115">
        <f t="shared" ref="AA125:AA128" si="114">IF(AND(ISBLANK(AA73),NOT(ISBLANK(AB73))),$I73,0)</f>
        <v>0</v>
      </c>
      <c r="AB125" s="115">
        <f t="shared" ref="AB125:AB128" si="115">IF(AND(ISBLANK(AB73),NOT(ISBLANK(AC73))),$I73,0)</f>
        <v>0</v>
      </c>
      <c r="AC125" s="115">
        <f t="shared" ref="AC125:AC128" si="116">IF(AND(ISBLANK(AC73),NOT(ISBLANK(AD73))),$I73,0)</f>
        <v>0</v>
      </c>
      <c r="AD125" s="115">
        <f t="shared" ref="AD125:AD128" si="117">IF(AND(ISBLANK(AD73),NOT(ISBLANK(AE73))),$I73,0)</f>
        <v>0</v>
      </c>
    </row>
    <row r="126" spans="3:30">
      <c r="C126" s="111" t="str">
        <f t="shared" ref="C126:J126" si="118">C74</f>
        <v>H200-8</v>
      </c>
      <c r="D126" s="112">
        <f t="shared" si="118"/>
        <v>10</v>
      </c>
      <c r="E126" s="139" t="str">
        <f t="shared" si="118"/>
        <v>Faculty(*)</v>
      </c>
      <c r="F126" s="111" t="str">
        <f t="shared" si="118"/>
        <v>GPU</v>
      </c>
      <c r="G126" s="142">
        <f t="shared" si="118"/>
        <v>1</v>
      </c>
      <c r="H126" s="113">
        <f t="shared" si="118"/>
        <v>0.1</v>
      </c>
      <c r="I126" s="111">
        <f t="shared" si="118"/>
        <v>2750</v>
      </c>
      <c r="J126" s="114">
        <f t="shared" si="118"/>
        <v>80</v>
      </c>
      <c r="K126" s="115">
        <f t="shared" si="98"/>
        <v>0</v>
      </c>
      <c r="L126" s="115">
        <f t="shared" si="99"/>
        <v>0</v>
      </c>
      <c r="M126" s="115">
        <f t="shared" si="100"/>
        <v>0</v>
      </c>
      <c r="N126" s="115">
        <f t="shared" si="101"/>
        <v>0</v>
      </c>
      <c r="O126" s="115">
        <f t="shared" si="102"/>
        <v>0</v>
      </c>
      <c r="P126" s="115">
        <f t="shared" si="103"/>
        <v>0</v>
      </c>
      <c r="Q126" s="115">
        <f t="shared" si="104"/>
        <v>0</v>
      </c>
      <c r="R126" s="115">
        <f t="shared" si="105"/>
        <v>0</v>
      </c>
      <c r="S126" s="115">
        <f t="shared" si="106"/>
        <v>0</v>
      </c>
      <c r="T126" s="115">
        <f t="shared" si="107"/>
        <v>0</v>
      </c>
      <c r="U126" s="115">
        <f t="shared" si="108"/>
        <v>0</v>
      </c>
      <c r="V126" s="115">
        <f t="shared" si="109"/>
        <v>0</v>
      </c>
      <c r="W126" s="115">
        <f t="shared" si="110"/>
        <v>0</v>
      </c>
      <c r="X126" s="115">
        <f t="shared" si="111"/>
        <v>0</v>
      </c>
      <c r="Y126" s="115">
        <f t="shared" si="112"/>
        <v>0</v>
      </c>
      <c r="Z126" s="115">
        <f t="shared" si="113"/>
        <v>0</v>
      </c>
      <c r="AA126" s="115">
        <f t="shared" si="114"/>
        <v>0</v>
      </c>
      <c r="AB126" s="115">
        <f t="shared" si="115"/>
        <v>0</v>
      </c>
      <c r="AC126" s="115">
        <f t="shared" si="116"/>
        <v>0</v>
      </c>
      <c r="AD126" s="115">
        <f t="shared" si="117"/>
        <v>0</v>
      </c>
    </row>
    <row r="127" spans="3:30">
      <c r="C127" s="111" t="str">
        <f t="shared" ref="C127:J127" si="119">C75</f>
        <v>L40-8</v>
      </c>
      <c r="D127" s="112">
        <f t="shared" si="119"/>
        <v>10</v>
      </c>
      <c r="E127" s="139" t="str">
        <f t="shared" si="119"/>
        <v>Faculty(*)</v>
      </c>
      <c r="F127" s="111" t="str">
        <f t="shared" si="119"/>
        <v>GPU</v>
      </c>
      <c r="G127" s="142">
        <f t="shared" si="119"/>
        <v>0.5</v>
      </c>
      <c r="H127" s="113">
        <f t="shared" si="119"/>
        <v>0.05</v>
      </c>
      <c r="I127" s="111">
        <f t="shared" si="119"/>
        <v>613</v>
      </c>
      <c r="J127" s="114">
        <f t="shared" si="119"/>
        <v>80</v>
      </c>
      <c r="K127" s="115">
        <f t="shared" si="98"/>
        <v>0</v>
      </c>
      <c r="L127" s="115">
        <f t="shared" si="99"/>
        <v>0</v>
      </c>
      <c r="M127" s="115">
        <f t="shared" si="100"/>
        <v>0</v>
      </c>
      <c r="N127" s="115">
        <f t="shared" si="101"/>
        <v>0</v>
      </c>
      <c r="O127" s="115">
        <f t="shared" si="102"/>
        <v>0</v>
      </c>
      <c r="P127" s="115">
        <f t="shared" si="103"/>
        <v>0</v>
      </c>
      <c r="Q127" s="115">
        <f t="shared" si="104"/>
        <v>0</v>
      </c>
      <c r="R127" s="115">
        <f t="shared" si="105"/>
        <v>0</v>
      </c>
      <c r="S127" s="115">
        <f t="shared" si="106"/>
        <v>0</v>
      </c>
      <c r="T127" s="115">
        <f t="shared" si="107"/>
        <v>0</v>
      </c>
      <c r="U127" s="115">
        <f t="shared" si="108"/>
        <v>0</v>
      </c>
      <c r="V127" s="115">
        <f t="shared" si="109"/>
        <v>0</v>
      </c>
      <c r="W127" s="115">
        <f t="shared" si="110"/>
        <v>0</v>
      </c>
      <c r="X127" s="115">
        <f t="shared" si="111"/>
        <v>0</v>
      </c>
      <c r="Y127" s="115">
        <f t="shared" si="112"/>
        <v>0</v>
      </c>
      <c r="Z127" s="115">
        <f t="shared" si="113"/>
        <v>0</v>
      </c>
      <c r="AA127" s="115">
        <f t="shared" si="114"/>
        <v>0</v>
      </c>
      <c r="AB127" s="115">
        <f t="shared" si="115"/>
        <v>0</v>
      </c>
      <c r="AC127" s="115">
        <f t="shared" si="116"/>
        <v>0</v>
      </c>
      <c r="AD127" s="115">
        <f t="shared" si="117"/>
        <v>0</v>
      </c>
    </row>
    <row r="128" spans="3:30">
      <c r="C128" s="111" t="str">
        <f t="shared" ref="C128:J128" si="120">C76</f>
        <v>H200-8</v>
      </c>
      <c r="D128" s="112">
        <f t="shared" si="120"/>
        <v>8</v>
      </c>
      <c r="E128" s="139" t="str">
        <f t="shared" si="120"/>
        <v>ARCH-2(*)</v>
      </c>
      <c r="F128" s="111" t="str">
        <f t="shared" si="120"/>
        <v>GPU</v>
      </c>
      <c r="G128" s="142">
        <f t="shared" si="120"/>
        <v>0.8</v>
      </c>
      <c r="H128" s="113">
        <f t="shared" si="120"/>
        <v>8.0000000000000016E-2</v>
      </c>
      <c r="I128" s="111">
        <f t="shared" si="120"/>
        <v>2200</v>
      </c>
      <c r="J128" s="114">
        <f t="shared" si="120"/>
        <v>64</v>
      </c>
      <c r="K128" s="115">
        <f t="shared" si="98"/>
        <v>0</v>
      </c>
      <c r="L128" s="115">
        <f t="shared" si="99"/>
        <v>0</v>
      </c>
      <c r="M128" s="115">
        <f t="shared" si="100"/>
        <v>0</v>
      </c>
      <c r="N128" s="115">
        <f t="shared" si="101"/>
        <v>0</v>
      </c>
      <c r="O128" s="115">
        <f t="shared" si="102"/>
        <v>0</v>
      </c>
      <c r="P128" s="115">
        <f t="shared" si="103"/>
        <v>0</v>
      </c>
      <c r="Q128" s="115">
        <f t="shared" si="104"/>
        <v>0</v>
      </c>
      <c r="R128" s="115">
        <f t="shared" si="105"/>
        <v>0</v>
      </c>
      <c r="S128" s="115">
        <f t="shared" si="106"/>
        <v>0</v>
      </c>
      <c r="T128" s="115">
        <f t="shared" si="107"/>
        <v>0</v>
      </c>
      <c r="U128" s="115">
        <f t="shared" si="108"/>
        <v>0</v>
      </c>
      <c r="V128" s="115">
        <f t="shared" si="109"/>
        <v>0</v>
      </c>
      <c r="W128" s="115">
        <f t="shared" si="110"/>
        <v>0</v>
      </c>
      <c r="X128" s="115">
        <f t="shared" si="111"/>
        <v>0</v>
      </c>
      <c r="Y128" s="115">
        <f t="shared" si="112"/>
        <v>0</v>
      </c>
      <c r="Z128" s="115">
        <f t="shared" si="113"/>
        <v>0</v>
      </c>
      <c r="AA128" s="115">
        <f t="shared" si="114"/>
        <v>0</v>
      </c>
      <c r="AB128" s="115">
        <f t="shared" si="115"/>
        <v>0</v>
      </c>
      <c r="AC128" s="115">
        <f t="shared" si="116"/>
        <v>0</v>
      </c>
      <c r="AD128" s="115">
        <f t="shared" si="117"/>
        <v>0</v>
      </c>
    </row>
    <row r="152" spans="3:30">
      <c r="K152" s="127">
        <v>2024</v>
      </c>
      <c r="L152" s="127">
        <v>2024.25</v>
      </c>
      <c r="M152" s="127">
        <v>2024.5</v>
      </c>
      <c r="N152" s="127">
        <v>2024.75</v>
      </c>
      <c r="O152" s="127">
        <v>2025</v>
      </c>
      <c r="P152" s="127">
        <v>2025.25</v>
      </c>
      <c r="Q152" s="127">
        <f t="shared" ref="Q152" si="121">P152+0.25</f>
        <v>2025.5</v>
      </c>
      <c r="R152" s="127">
        <f t="shared" ref="R152" si="122">Q152+0.25</f>
        <v>2025.75</v>
      </c>
      <c r="S152" s="127">
        <f t="shared" ref="S152" si="123">R152+0.25</f>
        <v>2026</v>
      </c>
      <c r="T152" s="127">
        <f t="shared" ref="T152" si="124">S152+0.25</f>
        <v>2026.25</v>
      </c>
      <c r="U152" s="127">
        <f t="shared" ref="U152" si="125">T152+0.25</f>
        <v>2026.5</v>
      </c>
      <c r="V152" s="127">
        <f t="shared" ref="V152" si="126">U152+0.25</f>
        <v>2026.75</v>
      </c>
      <c r="W152" s="127">
        <f t="shared" ref="W152" si="127">V152+0.25</f>
        <v>2027</v>
      </c>
      <c r="X152" s="127">
        <f t="shared" ref="X152" si="128">W152+0.25</f>
        <v>2027.25</v>
      </c>
      <c r="Y152" s="127">
        <f t="shared" ref="Y152" si="129">X152+0.25</f>
        <v>2027.5</v>
      </c>
      <c r="Z152" s="127">
        <f t="shared" ref="Z152" si="130">Y152+0.25</f>
        <v>2027.75</v>
      </c>
      <c r="AA152" s="127">
        <f t="shared" ref="AA152" si="131">Z152+0.25</f>
        <v>2028</v>
      </c>
      <c r="AB152" s="127">
        <f t="shared" ref="AB152" si="132">AA152+0.25</f>
        <v>2028.25</v>
      </c>
      <c r="AC152" s="127">
        <f t="shared" ref="AC152" si="133">AB152+0.25</f>
        <v>2028.5</v>
      </c>
      <c r="AD152" s="127">
        <f t="shared" ref="AD152" si="134">AC152+0.25</f>
        <v>2028.75</v>
      </c>
    </row>
    <row r="153" spans="3:30">
      <c r="J153" s="128" t="s">
        <v>26</v>
      </c>
      <c r="K153" s="4">
        <f>SUMIF($F$157:$F$177,$J153,K$157:K$177)</f>
        <v>156</v>
      </c>
      <c r="L153" s="4">
        <f t="shared" ref="L153:AA156" si="135">SUMIF($F$157:$F$177,$J153,L$157:L$177)</f>
        <v>156</v>
      </c>
      <c r="M153" s="4">
        <f t="shared" si="135"/>
        <v>156</v>
      </c>
      <c r="N153" s="4">
        <f t="shared" si="135"/>
        <v>348</v>
      </c>
      <c r="O153" s="4">
        <f t="shared" si="135"/>
        <v>348</v>
      </c>
      <c r="P153" s="4">
        <f t="shared" si="135"/>
        <v>348</v>
      </c>
      <c r="Q153" s="4">
        <f t="shared" si="135"/>
        <v>348</v>
      </c>
      <c r="R153" s="4">
        <f t="shared" si="135"/>
        <v>508</v>
      </c>
      <c r="S153" s="4">
        <f t="shared" si="135"/>
        <v>508</v>
      </c>
      <c r="T153" s="4">
        <f t="shared" si="135"/>
        <v>508</v>
      </c>
      <c r="U153" s="4">
        <f t="shared" si="135"/>
        <v>508</v>
      </c>
      <c r="V153" s="4">
        <f t="shared" si="135"/>
        <v>508</v>
      </c>
      <c r="W153" s="4">
        <f t="shared" si="135"/>
        <v>508</v>
      </c>
      <c r="X153" s="4">
        <f t="shared" si="135"/>
        <v>352</v>
      </c>
      <c r="Y153" s="4">
        <f t="shared" si="135"/>
        <v>352</v>
      </c>
      <c r="Z153" s="4">
        <f t="shared" si="135"/>
        <v>352</v>
      </c>
      <c r="AA153" s="4">
        <f t="shared" si="135"/>
        <v>352</v>
      </c>
      <c r="AB153" s="4">
        <f t="shared" ref="AB153:AD156" si="136">SUMIF($F$157:$F$177,$J153,AB$157:AB$177)</f>
        <v>352</v>
      </c>
      <c r="AC153" s="4">
        <f t="shared" si="136"/>
        <v>160</v>
      </c>
      <c r="AD153" s="4">
        <f t="shared" si="136"/>
        <v>160</v>
      </c>
    </row>
    <row r="154" spans="3:30">
      <c r="J154" s="128" t="s">
        <v>27</v>
      </c>
      <c r="K154" s="4">
        <f t="shared" ref="K154:K156" si="137">SUMIF($F$157:$F$177,$J154,K$157:K$177)</f>
        <v>48000</v>
      </c>
      <c r="L154" s="4">
        <f t="shared" si="135"/>
        <v>48000</v>
      </c>
      <c r="M154" s="4">
        <f t="shared" si="135"/>
        <v>48000</v>
      </c>
      <c r="N154" s="4">
        <f t="shared" si="135"/>
        <v>58240</v>
      </c>
      <c r="O154" s="4">
        <f t="shared" si="135"/>
        <v>58240</v>
      </c>
      <c r="P154" s="4">
        <f t="shared" si="135"/>
        <v>58240</v>
      </c>
      <c r="Q154" s="4">
        <f t="shared" si="135"/>
        <v>58240</v>
      </c>
      <c r="R154" s="4">
        <f t="shared" si="135"/>
        <v>58240</v>
      </c>
      <c r="S154" s="4">
        <f t="shared" si="135"/>
        <v>58240</v>
      </c>
      <c r="T154" s="4">
        <f t="shared" si="135"/>
        <v>58240</v>
      </c>
      <c r="U154" s="4">
        <f t="shared" si="135"/>
        <v>58240</v>
      </c>
      <c r="V154" s="4">
        <f t="shared" si="135"/>
        <v>58240</v>
      </c>
      <c r="W154" s="4">
        <f t="shared" si="135"/>
        <v>58240</v>
      </c>
      <c r="X154" s="4">
        <f t="shared" si="135"/>
        <v>10240</v>
      </c>
      <c r="Y154" s="4">
        <f t="shared" si="135"/>
        <v>10240</v>
      </c>
      <c r="Z154" s="4">
        <f t="shared" si="135"/>
        <v>10240</v>
      </c>
      <c r="AA154" s="4">
        <f t="shared" si="135"/>
        <v>10240</v>
      </c>
      <c r="AB154" s="4">
        <f t="shared" si="136"/>
        <v>10240</v>
      </c>
      <c r="AC154" s="4">
        <f t="shared" si="136"/>
        <v>0</v>
      </c>
      <c r="AD154" s="4">
        <f t="shared" si="136"/>
        <v>0</v>
      </c>
    </row>
    <row r="155" spans="3:30">
      <c r="J155" s="128" t="s">
        <v>29</v>
      </c>
      <c r="K155" s="4">
        <f t="shared" si="137"/>
        <v>15.9</v>
      </c>
      <c r="L155" s="4">
        <f t="shared" si="135"/>
        <v>15.9</v>
      </c>
      <c r="M155" s="4">
        <f t="shared" si="135"/>
        <v>15.9</v>
      </c>
      <c r="N155" s="4">
        <f t="shared" si="135"/>
        <v>19.080000000000002</v>
      </c>
      <c r="O155" s="4">
        <f t="shared" si="135"/>
        <v>19.080000000000002</v>
      </c>
      <c r="P155" s="4">
        <f t="shared" si="135"/>
        <v>19.080000000000002</v>
      </c>
      <c r="Q155" s="4">
        <f t="shared" si="135"/>
        <v>19.080000000000002</v>
      </c>
      <c r="R155" s="4">
        <f t="shared" si="135"/>
        <v>27.560000000000002</v>
      </c>
      <c r="S155" s="4">
        <f t="shared" si="135"/>
        <v>27.560000000000002</v>
      </c>
      <c r="T155" s="4">
        <f t="shared" si="135"/>
        <v>27.560000000000002</v>
      </c>
      <c r="U155" s="4">
        <f t="shared" si="135"/>
        <v>27.560000000000002</v>
      </c>
      <c r="V155" s="4">
        <f t="shared" si="135"/>
        <v>27.560000000000002</v>
      </c>
      <c r="W155" s="4">
        <f t="shared" si="135"/>
        <v>27.560000000000002</v>
      </c>
      <c r="X155" s="4">
        <f t="shared" si="135"/>
        <v>11.66</v>
      </c>
      <c r="Y155" s="4">
        <f t="shared" si="135"/>
        <v>11.66</v>
      </c>
      <c r="Z155" s="4">
        <f t="shared" si="135"/>
        <v>11.66</v>
      </c>
      <c r="AA155" s="4">
        <f t="shared" si="135"/>
        <v>11.66</v>
      </c>
      <c r="AB155" s="4">
        <f t="shared" si="136"/>
        <v>11.66</v>
      </c>
      <c r="AC155" s="4">
        <f t="shared" si="136"/>
        <v>11.66</v>
      </c>
      <c r="AD155" s="4">
        <f t="shared" si="136"/>
        <v>11.66</v>
      </c>
    </row>
    <row r="156" spans="3:30">
      <c r="J156" s="128" t="s">
        <v>30</v>
      </c>
      <c r="K156" s="4">
        <f t="shared" si="137"/>
        <v>1.2</v>
      </c>
      <c r="L156" s="4">
        <f t="shared" si="135"/>
        <v>1.2</v>
      </c>
      <c r="M156" s="4">
        <f t="shared" si="135"/>
        <v>1.2</v>
      </c>
      <c r="N156" s="4">
        <f t="shared" si="135"/>
        <v>2.5499999999999998</v>
      </c>
      <c r="O156" s="4">
        <f t="shared" si="135"/>
        <v>2.5499999999999998</v>
      </c>
      <c r="P156" s="4">
        <f t="shared" si="135"/>
        <v>2.5499999999999998</v>
      </c>
      <c r="Q156" s="4">
        <f t="shared" si="135"/>
        <v>2.5499999999999998</v>
      </c>
      <c r="R156" s="4">
        <f t="shared" si="135"/>
        <v>4.05</v>
      </c>
      <c r="S156" s="4">
        <f t="shared" si="135"/>
        <v>4.05</v>
      </c>
      <c r="T156" s="4">
        <f t="shared" si="135"/>
        <v>4.05</v>
      </c>
      <c r="U156" s="4">
        <f t="shared" si="135"/>
        <v>4.05</v>
      </c>
      <c r="V156" s="4">
        <f t="shared" si="135"/>
        <v>4.05</v>
      </c>
      <c r="W156" s="4">
        <f t="shared" si="135"/>
        <v>4.05</v>
      </c>
      <c r="X156" s="4">
        <f t="shared" si="135"/>
        <v>2.8499999999999996</v>
      </c>
      <c r="Y156" s="4">
        <f t="shared" si="135"/>
        <v>2.8499999999999996</v>
      </c>
      <c r="Z156" s="4">
        <f t="shared" si="135"/>
        <v>2.8499999999999996</v>
      </c>
      <c r="AA156" s="4">
        <f t="shared" si="135"/>
        <v>2.8499999999999996</v>
      </c>
      <c r="AB156" s="4">
        <f t="shared" si="136"/>
        <v>2.8499999999999996</v>
      </c>
      <c r="AC156" s="4">
        <f t="shared" si="136"/>
        <v>1.3499999999999999</v>
      </c>
      <c r="AD156" s="4">
        <f t="shared" si="136"/>
        <v>1.3499999999999999</v>
      </c>
    </row>
    <row r="157" spans="3:30">
      <c r="C157" s="109" t="str">
        <f t="shared" ref="C157:C177" si="138">C104</f>
        <v>HPC1</v>
      </c>
      <c r="D157" s="14"/>
      <c r="E157" s="123"/>
      <c r="F157" s="124" t="str">
        <f t="shared" ref="F157:F177" si="139">F104</f>
        <v>CPU</v>
      </c>
      <c r="G157" s="10"/>
      <c r="H157" s="124"/>
      <c r="I157" s="125"/>
      <c r="J157" s="126"/>
      <c r="K157" s="3">
        <f t="shared" ref="K157:AD157" si="140">IF(NOT(ISBLANK(K52)),$J52,0)</f>
        <v>48000</v>
      </c>
      <c r="L157" s="3">
        <f t="shared" si="140"/>
        <v>48000</v>
      </c>
      <c r="M157" s="3">
        <f t="shared" si="140"/>
        <v>48000</v>
      </c>
      <c r="N157" s="3">
        <f t="shared" si="140"/>
        <v>48000</v>
      </c>
      <c r="O157" s="3">
        <f t="shared" si="140"/>
        <v>48000</v>
      </c>
      <c r="P157" s="3">
        <f t="shared" si="140"/>
        <v>48000</v>
      </c>
      <c r="Q157" s="3">
        <f t="shared" si="140"/>
        <v>48000</v>
      </c>
      <c r="R157" s="3">
        <f t="shared" si="140"/>
        <v>48000</v>
      </c>
      <c r="S157" s="3">
        <f t="shared" si="140"/>
        <v>48000</v>
      </c>
      <c r="T157" s="3">
        <f t="shared" si="140"/>
        <v>48000</v>
      </c>
      <c r="U157" s="3">
        <f t="shared" si="140"/>
        <v>48000</v>
      </c>
      <c r="V157" s="3">
        <f t="shared" si="140"/>
        <v>48000</v>
      </c>
      <c r="W157" s="3">
        <f t="shared" si="140"/>
        <v>48000</v>
      </c>
      <c r="X157" s="3">
        <f t="shared" si="140"/>
        <v>0</v>
      </c>
      <c r="Y157" s="3">
        <f t="shared" si="140"/>
        <v>0</v>
      </c>
      <c r="Z157" s="3">
        <f t="shared" si="140"/>
        <v>0</v>
      </c>
      <c r="AA157" s="3">
        <f t="shared" si="140"/>
        <v>0</v>
      </c>
      <c r="AB157" s="3">
        <f t="shared" si="140"/>
        <v>0</v>
      </c>
      <c r="AC157" s="3">
        <f t="shared" si="140"/>
        <v>0</v>
      </c>
      <c r="AD157" s="3">
        <f t="shared" si="140"/>
        <v>0</v>
      </c>
    </row>
    <row r="158" spans="3:30">
      <c r="C158" s="109" t="str">
        <f t="shared" si="138"/>
        <v>V100-4</v>
      </c>
      <c r="D158" s="14"/>
      <c r="E158" s="123"/>
      <c r="F158" s="124" t="str">
        <f t="shared" si="139"/>
        <v>GPU</v>
      </c>
      <c r="G158" s="10"/>
      <c r="H158" s="124"/>
      <c r="I158" s="125"/>
      <c r="J158" s="126"/>
      <c r="K158" s="3">
        <f t="shared" ref="K158:AD158" si="141">IF(NOT(ISBLANK(K53)),$J53,0)</f>
        <v>124</v>
      </c>
      <c r="L158" s="3">
        <f t="shared" si="141"/>
        <v>124</v>
      </c>
      <c r="M158" s="3">
        <f t="shared" si="141"/>
        <v>124</v>
      </c>
      <c r="N158" s="3">
        <f t="shared" si="141"/>
        <v>124</v>
      </c>
      <c r="O158" s="3">
        <f t="shared" si="141"/>
        <v>124</v>
      </c>
      <c r="P158" s="3">
        <f t="shared" si="141"/>
        <v>124</v>
      </c>
      <c r="Q158" s="3">
        <f t="shared" si="141"/>
        <v>124</v>
      </c>
      <c r="R158" s="3">
        <f t="shared" si="141"/>
        <v>124</v>
      </c>
      <c r="S158" s="3">
        <f t="shared" si="141"/>
        <v>124</v>
      </c>
      <c r="T158" s="3">
        <f t="shared" si="141"/>
        <v>124</v>
      </c>
      <c r="U158" s="3">
        <f t="shared" si="141"/>
        <v>124</v>
      </c>
      <c r="V158" s="3">
        <f t="shared" si="141"/>
        <v>124</v>
      </c>
      <c r="W158" s="3">
        <f t="shared" si="141"/>
        <v>124</v>
      </c>
      <c r="X158" s="3">
        <f t="shared" si="141"/>
        <v>0</v>
      </c>
      <c r="Y158" s="3">
        <f t="shared" si="141"/>
        <v>0</v>
      </c>
      <c r="Z158" s="3">
        <f t="shared" si="141"/>
        <v>0</v>
      </c>
      <c r="AA158" s="3">
        <f t="shared" si="141"/>
        <v>0</v>
      </c>
      <c r="AB158" s="3">
        <f t="shared" si="141"/>
        <v>0</v>
      </c>
      <c r="AC158" s="3">
        <f t="shared" si="141"/>
        <v>0</v>
      </c>
      <c r="AD158" s="3">
        <f t="shared" si="141"/>
        <v>0</v>
      </c>
    </row>
    <row r="159" spans="3:30">
      <c r="C159" s="109" t="str">
        <f t="shared" si="138"/>
        <v>HDD</v>
      </c>
      <c r="D159" s="14"/>
      <c r="E159" s="123"/>
      <c r="F159" s="124" t="str">
        <f t="shared" si="139"/>
        <v>Hdisk</v>
      </c>
      <c r="G159" s="10"/>
      <c r="H159" s="124"/>
      <c r="I159" s="125"/>
      <c r="J159" s="126"/>
      <c r="K159" s="3">
        <f t="shared" ref="K159:AD159" si="142">IF(NOT(ISBLANK(K54)),$J54,0)</f>
        <v>15.9</v>
      </c>
      <c r="L159" s="3">
        <f t="shared" si="142"/>
        <v>15.9</v>
      </c>
      <c r="M159" s="3">
        <f t="shared" si="142"/>
        <v>15.9</v>
      </c>
      <c r="N159" s="3">
        <f t="shared" si="142"/>
        <v>15.9</v>
      </c>
      <c r="O159" s="3">
        <f t="shared" si="142"/>
        <v>15.9</v>
      </c>
      <c r="P159" s="3">
        <f t="shared" si="142"/>
        <v>15.9</v>
      </c>
      <c r="Q159" s="3">
        <f t="shared" si="142"/>
        <v>15.9</v>
      </c>
      <c r="R159" s="3">
        <f t="shared" si="142"/>
        <v>15.9</v>
      </c>
      <c r="S159" s="3">
        <f t="shared" si="142"/>
        <v>15.9</v>
      </c>
      <c r="T159" s="3">
        <f t="shared" si="142"/>
        <v>15.9</v>
      </c>
      <c r="U159" s="3">
        <f t="shared" si="142"/>
        <v>15.9</v>
      </c>
      <c r="V159" s="3">
        <f t="shared" si="142"/>
        <v>15.9</v>
      </c>
      <c r="W159" s="3">
        <f t="shared" si="142"/>
        <v>15.9</v>
      </c>
      <c r="X159" s="3">
        <f t="shared" si="142"/>
        <v>0</v>
      </c>
      <c r="Y159" s="3">
        <f t="shared" si="142"/>
        <v>0</v>
      </c>
      <c r="Z159" s="3">
        <f t="shared" si="142"/>
        <v>0</v>
      </c>
      <c r="AA159" s="3">
        <f t="shared" si="142"/>
        <v>0</v>
      </c>
      <c r="AB159" s="3">
        <f t="shared" si="142"/>
        <v>0</v>
      </c>
      <c r="AC159" s="3">
        <f t="shared" si="142"/>
        <v>0</v>
      </c>
      <c r="AD159" s="3">
        <f t="shared" si="142"/>
        <v>0</v>
      </c>
    </row>
    <row r="160" spans="3:30">
      <c r="C160" s="109" t="str">
        <f t="shared" si="138"/>
        <v>SSD</v>
      </c>
      <c r="D160" s="14"/>
      <c r="E160" s="123"/>
      <c r="F160" s="124" t="str">
        <f t="shared" si="139"/>
        <v>Sdisk</v>
      </c>
      <c r="G160" s="10"/>
      <c r="H160" s="124"/>
      <c r="I160" s="125"/>
      <c r="J160" s="126"/>
      <c r="K160" s="3">
        <f t="shared" ref="K160:AD160" si="143">IF(NOT(ISBLANK(K55)),$J55,0)</f>
        <v>1.2</v>
      </c>
      <c r="L160" s="3">
        <f t="shared" si="143"/>
        <v>1.2</v>
      </c>
      <c r="M160" s="3">
        <f t="shared" si="143"/>
        <v>1.2</v>
      </c>
      <c r="N160" s="3">
        <f t="shared" si="143"/>
        <v>1.2</v>
      </c>
      <c r="O160" s="3">
        <f t="shared" si="143"/>
        <v>1.2</v>
      </c>
      <c r="P160" s="3">
        <f t="shared" si="143"/>
        <v>1.2</v>
      </c>
      <c r="Q160" s="3">
        <f t="shared" si="143"/>
        <v>1.2</v>
      </c>
      <c r="R160" s="3">
        <f t="shared" si="143"/>
        <v>1.2</v>
      </c>
      <c r="S160" s="3">
        <f t="shared" si="143"/>
        <v>1.2</v>
      </c>
      <c r="T160" s="3">
        <f t="shared" si="143"/>
        <v>1.2</v>
      </c>
      <c r="U160" s="3">
        <f t="shared" si="143"/>
        <v>1.2</v>
      </c>
      <c r="V160" s="3">
        <f t="shared" si="143"/>
        <v>1.2</v>
      </c>
      <c r="W160" s="3">
        <f t="shared" si="143"/>
        <v>1.2</v>
      </c>
      <c r="X160" s="3">
        <f t="shared" si="143"/>
        <v>0</v>
      </c>
      <c r="Y160" s="3">
        <f t="shared" si="143"/>
        <v>0</v>
      </c>
      <c r="Z160" s="3">
        <f t="shared" si="143"/>
        <v>0</v>
      </c>
      <c r="AA160" s="3">
        <f t="shared" si="143"/>
        <v>0</v>
      </c>
      <c r="AB160" s="3">
        <f t="shared" si="143"/>
        <v>0</v>
      </c>
      <c r="AC160" s="3">
        <f t="shared" si="143"/>
        <v>0</v>
      </c>
      <c r="AD160" s="3">
        <f t="shared" si="143"/>
        <v>0</v>
      </c>
    </row>
    <row r="161" spans="3:30">
      <c r="C161" s="109" t="str">
        <f t="shared" si="138"/>
        <v>L40-8</v>
      </c>
      <c r="D161" s="14"/>
      <c r="E161" s="123"/>
      <c r="F161" s="124" t="str">
        <f t="shared" si="139"/>
        <v>GPU</v>
      </c>
      <c r="G161" s="10"/>
      <c r="H161" s="124"/>
      <c r="I161" s="125"/>
      <c r="J161" s="126"/>
      <c r="K161" s="3">
        <f t="shared" ref="K161:AD161" si="144">IF(NOT(ISBLANK(K56)),$J56,0)</f>
        <v>32</v>
      </c>
      <c r="L161" s="3">
        <f t="shared" si="144"/>
        <v>32</v>
      </c>
      <c r="M161" s="3">
        <f t="shared" si="144"/>
        <v>32</v>
      </c>
      <c r="N161" s="3">
        <f t="shared" si="144"/>
        <v>32</v>
      </c>
      <c r="O161" s="3">
        <f t="shared" si="144"/>
        <v>32</v>
      </c>
      <c r="P161" s="3">
        <f t="shared" si="144"/>
        <v>32</v>
      </c>
      <c r="Q161" s="3">
        <f t="shared" si="144"/>
        <v>32</v>
      </c>
      <c r="R161" s="3">
        <f t="shared" si="144"/>
        <v>32</v>
      </c>
      <c r="S161" s="3">
        <f t="shared" si="144"/>
        <v>32</v>
      </c>
      <c r="T161" s="3">
        <f t="shared" si="144"/>
        <v>32</v>
      </c>
      <c r="U161" s="3">
        <f t="shared" si="144"/>
        <v>32</v>
      </c>
      <c r="V161" s="3">
        <f t="shared" si="144"/>
        <v>32</v>
      </c>
      <c r="W161" s="3">
        <f t="shared" si="144"/>
        <v>32</v>
      </c>
      <c r="X161" s="3">
        <f t="shared" si="144"/>
        <v>0</v>
      </c>
      <c r="Y161" s="3">
        <f t="shared" si="144"/>
        <v>0</v>
      </c>
      <c r="Z161" s="3">
        <f t="shared" si="144"/>
        <v>0</v>
      </c>
      <c r="AA161" s="3">
        <f t="shared" si="144"/>
        <v>0</v>
      </c>
      <c r="AB161" s="3">
        <f t="shared" si="144"/>
        <v>0</v>
      </c>
      <c r="AC161" s="3">
        <f t="shared" si="144"/>
        <v>0</v>
      </c>
      <c r="AD161" s="3">
        <f t="shared" si="144"/>
        <v>0</v>
      </c>
    </row>
    <row r="162" spans="3:30">
      <c r="C162" s="109" t="str">
        <f t="shared" si="138"/>
        <v>H100-4</v>
      </c>
      <c r="D162" s="14"/>
      <c r="E162" s="123"/>
      <c r="F162" s="124" t="str">
        <f t="shared" si="139"/>
        <v>GPU</v>
      </c>
      <c r="G162" s="10"/>
      <c r="H162" s="124"/>
      <c r="I162" s="125"/>
      <c r="J162" s="126"/>
      <c r="K162" s="3">
        <f t="shared" ref="K162:AD162" si="145">IF(NOT(ISBLANK(K58)),$J58,0)</f>
        <v>0</v>
      </c>
      <c r="L162" s="3">
        <f t="shared" si="145"/>
        <v>0</v>
      </c>
      <c r="M162" s="3">
        <f t="shared" si="145"/>
        <v>0</v>
      </c>
      <c r="N162" s="3">
        <f t="shared" si="145"/>
        <v>128</v>
      </c>
      <c r="O162" s="3">
        <f t="shared" si="145"/>
        <v>128</v>
      </c>
      <c r="P162" s="3">
        <f t="shared" si="145"/>
        <v>128</v>
      </c>
      <c r="Q162" s="3">
        <f t="shared" si="145"/>
        <v>128</v>
      </c>
      <c r="R162" s="3">
        <f t="shared" si="145"/>
        <v>128</v>
      </c>
      <c r="S162" s="3">
        <f t="shared" si="145"/>
        <v>128</v>
      </c>
      <c r="T162" s="3">
        <f t="shared" si="145"/>
        <v>128</v>
      </c>
      <c r="U162" s="3">
        <f t="shared" si="145"/>
        <v>128</v>
      </c>
      <c r="V162" s="3">
        <f t="shared" si="145"/>
        <v>128</v>
      </c>
      <c r="W162" s="3">
        <f t="shared" si="145"/>
        <v>128</v>
      </c>
      <c r="X162" s="3">
        <f t="shared" si="145"/>
        <v>128</v>
      </c>
      <c r="Y162" s="3">
        <f t="shared" si="145"/>
        <v>128</v>
      </c>
      <c r="Z162" s="3">
        <f t="shared" si="145"/>
        <v>128</v>
      </c>
      <c r="AA162" s="3">
        <f t="shared" si="145"/>
        <v>128</v>
      </c>
      <c r="AB162" s="3">
        <f t="shared" si="145"/>
        <v>128</v>
      </c>
      <c r="AC162" s="3">
        <f t="shared" si="145"/>
        <v>0</v>
      </c>
      <c r="AD162" s="3">
        <f t="shared" si="145"/>
        <v>0</v>
      </c>
    </row>
    <row r="163" spans="3:30">
      <c r="C163" s="109" t="str">
        <f t="shared" si="138"/>
        <v>L40-8</v>
      </c>
      <c r="D163" s="14"/>
      <c r="E163" s="123"/>
      <c r="F163" s="124" t="str">
        <f t="shared" si="139"/>
        <v>GPU</v>
      </c>
      <c r="G163" s="10"/>
      <c r="H163" s="124"/>
      <c r="I163" s="125"/>
      <c r="J163" s="126"/>
      <c r="K163" s="3">
        <f t="shared" ref="K163:AD163" si="146">IF(NOT(ISBLANK(K59)),$J59,0)</f>
        <v>0</v>
      </c>
      <c r="L163" s="3">
        <f t="shared" si="146"/>
        <v>0</v>
      </c>
      <c r="M163" s="3">
        <f t="shared" si="146"/>
        <v>0</v>
      </c>
      <c r="N163" s="3">
        <f t="shared" si="146"/>
        <v>64</v>
      </c>
      <c r="O163" s="3">
        <f t="shared" si="146"/>
        <v>64</v>
      </c>
      <c r="P163" s="3">
        <f t="shared" si="146"/>
        <v>64</v>
      </c>
      <c r="Q163" s="3">
        <f t="shared" si="146"/>
        <v>64</v>
      </c>
      <c r="R163" s="3">
        <f t="shared" si="146"/>
        <v>64</v>
      </c>
      <c r="S163" s="3">
        <f t="shared" si="146"/>
        <v>64</v>
      </c>
      <c r="T163" s="3">
        <f t="shared" si="146"/>
        <v>64</v>
      </c>
      <c r="U163" s="3">
        <f t="shared" si="146"/>
        <v>64</v>
      </c>
      <c r="V163" s="3">
        <f t="shared" si="146"/>
        <v>64</v>
      </c>
      <c r="W163" s="3">
        <f t="shared" si="146"/>
        <v>64</v>
      </c>
      <c r="X163" s="3">
        <f t="shared" si="146"/>
        <v>64</v>
      </c>
      <c r="Y163" s="3">
        <f t="shared" si="146"/>
        <v>64</v>
      </c>
      <c r="Z163" s="3">
        <f t="shared" si="146"/>
        <v>64</v>
      </c>
      <c r="AA163" s="3">
        <f t="shared" si="146"/>
        <v>64</v>
      </c>
      <c r="AB163" s="3">
        <f t="shared" si="146"/>
        <v>64</v>
      </c>
      <c r="AC163" s="3">
        <f t="shared" si="146"/>
        <v>0</v>
      </c>
      <c r="AD163" s="3">
        <f t="shared" si="146"/>
        <v>0</v>
      </c>
    </row>
    <row r="164" spans="3:30">
      <c r="C164" s="109" t="str">
        <f t="shared" si="138"/>
        <v>HPC1</v>
      </c>
      <c r="D164" s="14"/>
      <c r="E164" s="123"/>
      <c r="F164" s="124" t="str">
        <f t="shared" si="139"/>
        <v>CPU</v>
      </c>
      <c r="G164" s="10"/>
      <c r="H164" s="124"/>
      <c r="I164" s="125"/>
      <c r="J164" s="126"/>
      <c r="K164" s="3">
        <f t="shared" ref="K164:AD164" si="147">IF(NOT(ISBLANK(K60)),$J60,0)</f>
        <v>0</v>
      </c>
      <c r="L164" s="3">
        <f t="shared" si="147"/>
        <v>0</v>
      </c>
      <c r="M164" s="3">
        <f t="shared" si="147"/>
        <v>0</v>
      </c>
      <c r="N164" s="3">
        <f t="shared" si="147"/>
        <v>10240</v>
      </c>
      <c r="O164" s="3">
        <f t="shared" si="147"/>
        <v>10240</v>
      </c>
      <c r="P164" s="3">
        <f t="shared" si="147"/>
        <v>10240</v>
      </c>
      <c r="Q164" s="3">
        <f t="shared" si="147"/>
        <v>10240</v>
      </c>
      <c r="R164" s="3">
        <f t="shared" si="147"/>
        <v>10240</v>
      </c>
      <c r="S164" s="3">
        <f t="shared" si="147"/>
        <v>10240</v>
      </c>
      <c r="T164" s="3">
        <f t="shared" si="147"/>
        <v>10240</v>
      </c>
      <c r="U164" s="3">
        <f t="shared" si="147"/>
        <v>10240</v>
      </c>
      <c r="V164" s="3">
        <f t="shared" si="147"/>
        <v>10240</v>
      </c>
      <c r="W164" s="3">
        <f t="shared" si="147"/>
        <v>10240</v>
      </c>
      <c r="X164" s="3">
        <f t="shared" si="147"/>
        <v>10240</v>
      </c>
      <c r="Y164" s="3">
        <f t="shared" si="147"/>
        <v>10240</v>
      </c>
      <c r="Z164" s="3">
        <f t="shared" si="147"/>
        <v>10240</v>
      </c>
      <c r="AA164" s="3">
        <f t="shared" si="147"/>
        <v>10240</v>
      </c>
      <c r="AB164" s="3">
        <f t="shared" si="147"/>
        <v>10240</v>
      </c>
      <c r="AC164" s="3">
        <f t="shared" si="147"/>
        <v>0</v>
      </c>
      <c r="AD164" s="3">
        <f t="shared" si="147"/>
        <v>0</v>
      </c>
    </row>
    <row r="165" spans="3:30">
      <c r="C165" s="109" t="str">
        <f t="shared" si="138"/>
        <v>HDD</v>
      </c>
      <c r="D165" s="14"/>
      <c r="E165" s="123"/>
      <c r="F165" s="124" t="str">
        <f t="shared" si="139"/>
        <v>Hdisk</v>
      </c>
      <c r="G165" s="10"/>
      <c r="H165" s="124"/>
      <c r="I165" s="125"/>
      <c r="J165" s="126"/>
      <c r="K165" s="3">
        <f t="shared" ref="K165:AD165" si="148">IF(NOT(ISBLANK(K61)),$J61,0)</f>
        <v>0</v>
      </c>
      <c r="L165" s="3">
        <f t="shared" si="148"/>
        <v>0</v>
      </c>
      <c r="M165" s="3">
        <f t="shared" si="148"/>
        <v>0</v>
      </c>
      <c r="N165" s="3">
        <f t="shared" si="148"/>
        <v>3.18</v>
      </c>
      <c r="O165" s="3">
        <f t="shared" si="148"/>
        <v>3.18</v>
      </c>
      <c r="P165" s="3">
        <f t="shared" si="148"/>
        <v>3.18</v>
      </c>
      <c r="Q165" s="3">
        <f t="shared" si="148"/>
        <v>3.18</v>
      </c>
      <c r="R165" s="3">
        <f t="shared" si="148"/>
        <v>3.18</v>
      </c>
      <c r="S165" s="3">
        <f t="shared" si="148"/>
        <v>3.18</v>
      </c>
      <c r="T165" s="3">
        <f t="shared" si="148"/>
        <v>3.18</v>
      </c>
      <c r="U165" s="3">
        <f t="shared" si="148"/>
        <v>3.18</v>
      </c>
      <c r="V165" s="3">
        <f t="shared" si="148"/>
        <v>3.18</v>
      </c>
      <c r="W165" s="3">
        <f t="shared" si="148"/>
        <v>3.18</v>
      </c>
      <c r="X165" s="3">
        <f t="shared" si="148"/>
        <v>3.18</v>
      </c>
      <c r="Y165" s="3">
        <f t="shared" si="148"/>
        <v>3.18</v>
      </c>
      <c r="Z165" s="3">
        <f t="shared" si="148"/>
        <v>3.18</v>
      </c>
      <c r="AA165" s="3">
        <f t="shared" si="148"/>
        <v>3.18</v>
      </c>
      <c r="AB165" s="3">
        <f t="shared" si="148"/>
        <v>3.18</v>
      </c>
      <c r="AC165" s="3">
        <f t="shared" si="148"/>
        <v>3.18</v>
      </c>
      <c r="AD165" s="3">
        <f t="shared" si="148"/>
        <v>3.18</v>
      </c>
    </row>
    <row r="166" spans="3:30">
      <c r="C166" s="109" t="str">
        <f t="shared" si="138"/>
        <v>SSD</v>
      </c>
      <c r="D166" s="14"/>
      <c r="E166" s="123"/>
      <c r="F166" s="124" t="str">
        <f t="shared" si="139"/>
        <v>Sdisk</v>
      </c>
      <c r="G166" s="10"/>
      <c r="H166" s="124"/>
      <c r="I166" s="125"/>
      <c r="J166" s="126"/>
      <c r="K166" s="3">
        <f t="shared" ref="K166:AD167" si="149">IF(NOT(ISBLANK(K62)),$J62,0)</f>
        <v>0</v>
      </c>
      <c r="L166" s="3">
        <f t="shared" si="149"/>
        <v>0</v>
      </c>
      <c r="M166" s="3">
        <f t="shared" si="149"/>
        <v>0</v>
      </c>
      <c r="N166" s="3">
        <f t="shared" si="149"/>
        <v>1.3499999999999999</v>
      </c>
      <c r="O166" s="3">
        <f t="shared" si="149"/>
        <v>1.3499999999999999</v>
      </c>
      <c r="P166" s="3">
        <f t="shared" si="149"/>
        <v>1.3499999999999999</v>
      </c>
      <c r="Q166" s="3">
        <f t="shared" si="149"/>
        <v>1.3499999999999999</v>
      </c>
      <c r="R166" s="3">
        <f t="shared" si="149"/>
        <v>1.3499999999999999</v>
      </c>
      <c r="S166" s="3">
        <f t="shared" si="149"/>
        <v>1.3499999999999999</v>
      </c>
      <c r="T166" s="3">
        <f t="shared" si="149"/>
        <v>1.3499999999999999</v>
      </c>
      <c r="U166" s="3">
        <f t="shared" si="149"/>
        <v>1.3499999999999999</v>
      </c>
      <c r="V166" s="3">
        <f t="shared" si="149"/>
        <v>1.3499999999999999</v>
      </c>
      <c r="W166" s="3">
        <f t="shared" si="149"/>
        <v>1.3499999999999999</v>
      </c>
      <c r="X166" s="3">
        <f t="shared" si="149"/>
        <v>1.3499999999999999</v>
      </c>
      <c r="Y166" s="3">
        <f t="shared" si="149"/>
        <v>1.3499999999999999</v>
      </c>
      <c r="Z166" s="3">
        <f t="shared" si="149"/>
        <v>1.3499999999999999</v>
      </c>
      <c r="AA166" s="3">
        <f t="shared" si="149"/>
        <v>1.3499999999999999</v>
      </c>
      <c r="AB166" s="3">
        <f t="shared" si="149"/>
        <v>1.3499999999999999</v>
      </c>
      <c r="AC166" s="3">
        <f t="shared" si="149"/>
        <v>1.3499999999999999</v>
      </c>
      <c r="AD166" s="3">
        <f t="shared" si="149"/>
        <v>1.3499999999999999</v>
      </c>
    </row>
    <row r="167" spans="3:30">
      <c r="C167" s="109" t="str">
        <f t="shared" si="138"/>
        <v>H200-8</v>
      </c>
      <c r="D167" s="14"/>
      <c r="E167" s="123"/>
      <c r="F167" s="124" t="str">
        <f t="shared" si="139"/>
        <v>GPU</v>
      </c>
      <c r="G167" s="10"/>
      <c r="H167" s="124"/>
      <c r="I167" s="125"/>
      <c r="J167" s="126"/>
      <c r="K167" s="3">
        <f t="shared" si="149"/>
        <v>0</v>
      </c>
      <c r="L167" s="3">
        <f t="shared" si="149"/>
        <v>0</v>
      </c>
      <c r="M167" s="3">
        <f t="shared" si="149"/>
        <v>0</v>
      </c>
      <c r="N167" s="3">
        <f t="shared" si="149"/>
        <v>0</v>
      </c>
      <c r="O167" s="3">
        <f t="shared" si="149"/>
        <v>0</v>
      </c>
      <c r="P167" s="3">
        <f t="shared" si="149"/>
        <v>0</v>
      </c>
      <c r="Q167" s="3">
        <f t="shared" si="149"/>
        <v>0</v>
      </c>
      <c r="R167" s="3">
        <f t="shared" si="149"/>
        <v>64</v>
      </c>
      <c r="S167" s="3">
        <f t="shared" si="149"/>
        <v>64</v>
      </c>
      <c r="T167" s="3">
        <f t="shared" si="149"/>
        <v>64</v>
      </c>
      <c r="U167" s="3">
        <f t="shared" si="149"/>
        <v>64</v>
      </c>
      <c r="V167" s="3">
        <f t="shared" si="149"/>
        <v>64</v>
      </c>
      <c r="W167" s="3">
        <f t="shared" si="149"/>
        <v>64</v>
      </c>
      <c r="X167" s="3">
        <f t="shared" si="149"/>
        <v>64</v>
      </c>
      <c r="Y167" s="3">
        <f t="shared" si="149"/>
        <v>64</v>
      </c>
      <c r="Z167" s="3">
        <f t="shared" si="149"/>
        <v>64</v>
      </c>
      <c r="AA167" s="3">
        <f t="shared" si="149"/>
        <v>64</v>
      </c>
      <c r="AB167" s="3">
        <f t="shared" si="149"/>
        <v>64</v>
      </c>
      <c r="AC167" s="3">
        <f t="shared" si="149"/>
        <v>64</v>
      </c>
      <c r="AD167" s="3">
        <f t="shared" si="149"/>
        <v>64</v>
      </c>
    </row>
    <row r="168" spans="3:30">
      <c r="C168" s="109" t="str">
        <f t="shared" si="138"/>
        <v>H200-8</v>
      </c>
      <c r="D168" s="14"/>
      <c r="E168" s="123"/>
      <c r="F168" s="124" t="str">
        <f t="shared" si="139"/>
        <v>GPU</v>
      </c>
      <c r="G168" s="10"/>
      <c r="H168" s="124"/>
      <c r="I168" s="125"/>
      <c r="J168" s="126"/>
      <c r="K168" s="3">
        <f t="shared" ref="K168:AD168" si="150">IF(NOT(ISBLANK(K63)),$J63,0)</f>
        <v>0</v>
      </c>
      <c r="L168" s="3">
        <f t="shared" si="150"/>
        <v>0</v>
      </c>
      <c r="M168" s="3">
        <f t="shared" si="150"/>
        <v>0</v>
      </c>
      <c r="N168" s="3">
        <f t="shared" si="150"/>
        <v>0</v>
      </c>
      <c r="O168" s="3">
        <f t="shared" si="150"/>
        <v>0</v>
      </c>
      <c r="P168" s="3">
        <f t="shared" si="150"/>
        <v>0</v>
      </c>
      <c r="Q168" s="3">
        <f t="shared" si="150"/>
        <v>0</v>
      </c>
      <c r="R168" s="3">
        <f t="shared" si="150"/>
        <v>64</v>
      </c>
      <c r="S168" s="3">
        <f t="shared" si="150"/>
        <v>64</v>
      </c>
      <c r="T168" s="3">
        <f t="shared" si="150"/>
        <v>64</v>
      </c>
      <c r="U168" s="3">
        <f t="shared" si="150"/>
        <v>64</v>
      </c>
      <c r="V168" s="3">
        <f t="shared" si="150"/>
        <v>64</v>
      </c>
      <c r="W168" s="3">
        <f t="shared" si="150"/>
        <v>64</v>
      </c>
      <c r="X168" s="3">
        <f t="shared" si="150"/>
        <v>64</v>
      </c>
      <c r="Y168" s="3">
        <f t="shared" si="150"/>
        <v>64</v>
      </c>
      <c r="Z168" s="3">
        <f t="shared" si="150"/>
        <v>64</v>
      </c>
      <c r="AA168" s="3">
        <f t="shared" si="150"/>
        <v>64</v>
      </c>
      <c r="AB168" s="3">
        <f t="shared" si="150"/>
        <v>64</v>
      </c>
      <c r="AC168" s="3">
        <f t="shared" si="150"/>
        <v>64</v>
      </c>
      <c r="AD168" s="3">
        <f t="shared" si="150"/>
        <v>64</v>
      </c>
    </row>
    <row r="169" spans="3:30">
      <c r="C169" s="109" t="str">
        <f t="shared" si="138"/>
        <v>HDD</v>
      </c>
      <c r="D169" s="14"/>
      <c r="E169" s="123"/>
      <c r="F169" s="124" t="str">
        <f t="shared" si="139"/>
        <v>Hdisk</v>
      </c>
      <c r="G169" s="10"/>
      <c r="H169" s="124"/>
      <c r="I169" s="125"/>
      <c r="J169" s="126"/>
      <c r="K169" s="3">
        <f t="shared" ref="K169:AD169" si="151">IF(NOT(ISBLANK(K64)),$J64,0)</f>
        <v>0</v>
      </c>
      <c r="L169" s="3">
        <f t="shared" si="151"/>
        <v>0</v>
      </c>
      <c r="M169" s="3">
        <f t="shared" si="151"/>
        <v>0</v>
      </c>
      <c r="N169" s="3">
        <f t="shared" si="151"/>
        <v>0</v>
      </c>
      <c r="O169" s="3">
        <f t="shared" si="151"/>
        <v>0</v>
      </c>
      <c r="P169" s="3">
        <f t="shared" si="151"/>
        <v>0</v>
      </c>
      <c r="Q169" s="3">
        <f t="shared" si="151"/>
        <v>0</v>
      </c>
      <c r="R169" s="3">
        <f t="shared" si="151"/>
        <v>8.48</v>
      </c>
      <c r="S169" s="3">
        <f t="shared" si="151"/>
        <v>8.48</v>
      </c>
      <c r="T169" s="3">
        <f t="shared" si="151"/>
        <v>8.48</v>
      </c>
      <c r="U169" s="3">
        <f t="shared" si="151"/>
        <v>8.48</v>
      </c>
      <c r="V169" s="3">
        <f t="shared" si="151"/>
        <v>8.48</v>
      </c>
      <c r="W169" s="3">
        <f t="shared" si="151"/>
        <v>8.48</v>
      </c>
      <c r="X169" s="3">
        <f t="shared" si="151"/>
        <v>8.48</v>
      </c>
      <c r="Y169" s="3">
        <f t="shared" si="151"/>
        <v>8.48</v>
      </c>
      <c r="Z169" s="3">
        <f t="shared" si="151"/>
        <v>8.48</v>
      </c>
      <c r="AA169" s="3">
        <f t="shared" si="151"/>
        <v>8.48</v>
      </c>
      <c r="AB169" s="3">
        <f t="shared" si="151"/>
        <v>8.48</v>
      </c>
      <c r="AC169" s="3">
        <f t="shared" si="151"/>
        <v>8.48</v>
      </c>
      <c r="AD169" s="3">
        <f t="shared" si="151"/>
        <v>8.48</v>
      </c>
    </row>
    <row r="170" spans="3:30">
      <c r="C170" s="109" t="str">
        <f t="shared" si="138"/>
        <v>SSD</v>
      </c>
      <c r="D170" s="14"/>
      <c r="E170" s="123"/>
      <c r="F170" s="124" t="str">
        <f t="shared" si="139"/>
        <v>Sdisk</v>
      </c>
      <c r="G170" s="10"/>
      <c r="H170" s="124"/>
      <c r="I170" s="125"/>
      <c r="J170" s="126"/>
      <c r="K170" s="3">
        <f t="shared" ref="K170:AD170" si="152">IF(NOT(ISBLANK(K65)),$J65,0)</f>
        <v>0</v>
      </c>
      <c r="L170" s="3">
        <f t="shared" si="152"/>
        <v>0</v>
      </c>
      <c r="M170" s="3">
        <f t="shared" si="152"/>
        <v>0</v>
      </c>
      <c r="N170" s="3">
        <f t="shared" si="152"/>
        <v>0</v>
      </c>
      <c r="O170" s="3">
        <f t="shared" si="152"/>
        <v>0</v>
      </c>
      <c r="P170" s="3">
        <f t="shared" si="152"/>
        <v>0</v>
      </c>
      <c r="Q170" s="3">
        <f t="shared" si="152"/>
        <v>0</v>
      </c>
      <c r="R170" s="3">
        <f t="shared" si="152"/>
        <v>1.5</v>
      </c>
      <c r="S170" s="3">
        <f t="shared" si="152"/>
        <v>1.5</v>
      </c>
      <c r="T170" s="3">
        <f t="shared" si="152"/>
        <v>1.5</v>
      </c>
      <c r="U170" s="3">
        <f t="shared" si="152"/>
        <v>1.5</v>
      </c>
      <c r="V170" s="3">
        <f t="shared" si="152"/>
        <v>1.5</v>
      </c>
      <c r="W170" s="3">
        <f t="shared" si="152"/>
        <v>1.5</v>
      </c>
      <c r="X170" s="3">
        <f t="shared" si="152"/>
        <v>1.5</v>
      </c>
      <c r="Y170" s="3">
        <f t="shared" si="152"/>
        <v>1.5</v>
      </c>
      <c r="Z170" s="3">
        <f t="shared" si="152"/>
        <v>1.5</v>
      </c>
      <c r="AA170" s="3">
        <f t="shared" si="152"/>
        <v>1.5</v>
      </c>
      <c r="AB170" s="3">
        <f t="shared" si="152"/>
        <v>1.5</v>
      </c>
      <c r="AC170" s="3">
        <f t="shared" si="152"/>
        <v>0</v>
      </c>
      <c r="AD170" s="3">
        <f t="shared" si="152"/>
        <v>0</v>
      </c>
    </row>
    <row r="171" spans="3:30">
      <c r="C171" s="109" t="str">
        <f t="shared" si="138"/>
        <v>H200-8</v>
      </c>
      <c r="D171" s="14"/>
      <c r="E171" s="123"/>
      <c r="F171" s="124" t="str">
        <f t="shared" si="139"/>
        <v>GPU</v>
      </c>
      <c r="G171" s="10"/>
      <c r="H171" s="124"/>
      <c r="I171" s="125"/>
      <c r="J171" s="126"/>
      <c r="K171" s="3">
        <f t="shared" ref="K171:AD171" si="153">IF(NOT(ISBLANK(K66)),$J66,0)</f>
        <v>0</v>
      </c>
      <c r="L171" s="3">
        <f t="shared" si="153"/>
        <v>0</v>
      </c>
      <c r="M171" s="3">
        <f t="shared" si="153"/>
        <v>0</v>
      </c>
      <c r="N171" s="3">
        <f t="shared" si="153"/>
        <v>0</v>
      </c>
      <c r="O171" s="3">
        <f t="shared" si="153"/>
        <v>0</v>
      </c>
      <c r="P171" s="3">
        <f t="shared" si="153"/>
        <v>0</v>
      </c>
      <c r="Q171" s="3">
        <f t="shared" si="153"/>
        <v>0</v>
      </c>
      <c r="R171" s="3">
        <f t="shared" si="153"/>
        <v>32</v>
      </c>
      <c r="S171" s="3">
        <f t="shared" si="153"/>
        <v>32</v>
      </c>
      <c r="T171" s="3">
        <f t="shared" si="153"/>
        <v>32</v>
      </c>
      <c r="U171" s="3">
        <f t="shared" si="153"/>
        <v>32</v>
      </c>
      <c r="V171" s="3">
        <f t="shared" si="153"/>
        <v>32</v>
      </c>
      <c r="W171" s="3">
        <f t="shared" si="153"/>
        <v>32</v>
      </c>
      <c r="X171" s="3">
        <f t="shared" si="153"/>
        <v>32</v>
      </c>
      <c r="Y171" s="3">
        <f t="shared" si="153"/>
        <v>32</v>
      </c>
      <c r="Z171" s="3">
        <f t="shared" si="153"/>
        <v>32</v>
      </c>
      <c r="AA171" s="3">
        <f t="shared" si="153"/>
        <v>32</v>
      </c>
      <c r="AB171" s="3">
        <f t="shared" si="153"/>
        <v>32</v>
      </c>
      <c r="AC171" s="3">
        <f t="shared" si="153"/>
        <v>32</v>
      </c>
      <c r="AD171" s="3">
        <f t="shared" si="153"/>
        <v>32</v>
      </c>
    </row>
    <row r="172" spans="3:30">
      <c r="C172" s="109" t="str">
        <f t="shared" si="138"/>
        <v>HPC1</v>
      </c>
      <c r="D172" s="14"/>
      <c r="E172" s="123"/>
      <c r="F172" s="124" t="str">
        <f t="shared" si="139"/>
        <v>CPU</v>
      </c>
      <c r="G172" s="10"/>
      <c r="H172" s="124"/>
      <c r="I172" s="125"/>
      <c r="J172" s="126"/>
      <c r="K172" s="3">
        <f t="shared" ref="K172:AD172" si="154">IF(NOT(ISBLANK(K67)),$J67,0)</f>
        <v>0</v>
      </c>
      <c r="L172" s="3">
        <f t="shared" si="154"/>
        <v>0</v>
      </c>
      <c r="M172" s="3">
        <f t="shared" si="154"/>
        <v>0</v>
      </c>
      <c r="N172" s="3">
        <f t="shared" si="154"/>
        <v>0</v>
      </c>
      <c r="O172" s="3">
        <f t="shared" si="154"/>
        <v>0</v>
      </c>
      <c r="P172" s="3">
        <f t="shared" si="154"/>
        <v>0</v>
      </c>
      <c r="Q172" s="3">
        <f t="shared" si="154"/>
        <v>0</v>
      </c>
      <c r="R172" s="3">
        <f t="shared" si="154"/>
        <v>0</v>
      </c>
      <c r="S172" s="3">
        <f t="shared" si="154"/>
        <v>0</v>
      </c>
      <c r="T172" s="3">
        <f t="shared" si="154"/>
        <v>0</v>
      </c>
      <c r="U172" s="3">
        <f t="shared" si="154"/>
        <v>0</v>
      </c>
      <c r="V172" s="3">
        <f t="shared" si="154"/>
        <v>0</v>
      </c>
      <c r="W172" s="3">
        <f t="shared" si="154"/>
        <v>0</v>
      </c>
      <c r="X172" s="3">
        <f t="shared" si="154"/>
        <v>0</v>
      </c>
      <c r="Y172" s="3">
        <f t="shared" si="154"/>
        <v>0</v>
      </c>
      <c r="Z172" s="3">
        <f t="shared" si="154"/>
        <v>0</v>
      </c>
      <c r="AA172" s="3">
        <f t="shared" si="154"/>
        <v>0</v>
      </c>
      <c r="AB172" s="3">
        <f t="shared" si="154"/>
        <v>0</v>
      </c>
      <c r="AC172" s="3">
        <f t="shared" si="154"/>
        <v>0</v>
      </c>
      <c r="AD172" s="3">
        <f t="shared" si="154"/>
        <v>0</v>
      </c>
    </row>
    <row r="173" spans="3:30">
      <c r="C173" s="109" t="str">
        <f t="shared" si="138"/>
        <v>--</v>
      </c>
      <c r="D173" s="14"/>
      <c r="E173" s="123"/>
      <c r="F173" s="124" t="str">
        <f t="shared" si="139"/>
        <v xml:space="preserve"> </v>
      </c>
      <c r="G173" s="10"/>
      <c r="H173" s="124"/>
      <c r="I173" s="125"/>
      <c r="J173" s="126"/>
      <c r="K173" s="3">
        <f t="shared" ref="K173:AD173" si="155">IF(NOT(ISBLANK(K68)),$J68,0)</f>
        <v>0</v>
      </c>
      <c r="L173" s="3">
        <f t="shared" si="155"/>
        <v>0</v>
      </c>
      <c r="M173" s="3">
        <f t="shared" si="155"/>
        <v>0</v>
      </c>
      <c r="N173" s="3">
        <f t="shared" si="155"/>
        <v>0</v>
      </c>
      <c r="O173" s="3">
        <f t="shared" si="155"/>
        <v>0</v>
      </c>
      <c r="P173" s="3">
        <f t="shared" si="155"/>
        <v>0</v>
      </c>
      <c r="Q173" s="3">
        <f t="shared" si="155"/>
        <v>0</v>
      </c>
      <c r="R173" s="3">
        <f t="shared" si="155"/>
        <v>0</v>
      </c>
      <c r="S173" s="3" t="str">
        <f t="shared" si="155"/>
        <v xml:space="preserve"> </v>
      </c>
      <c r="T173" s="3" t="str">
        <f t="shared" si="155"/>
        <v xml:space="preserve"> </v>
      </c>
      <c r="U173" s="3" t="str">
        <f t="shared" si="155"/>
        <v xml:space="preserve"> </v>
      </c>
      <c r="V173" s="3" t="str">
        <f t="shared" si="155"/>
        <v xml:space="preserve"> </v>
      </c>
      <c r="W173" s="3" t="str">
        <f t="shared" si="155"/>
        <v xml:space="preserve"> </v>
      </c>
      <c r="X173" s="3" t="str">
        <f t="shared" si="155"/>
        <v xml:space="preserve"> </v>
      </c>
      <c r="Y173" s="3" t="str">
        <f t="shared" si="155"/>
        <v xml:space="preserve"> </v>
      </c>
      <c r="Z173" s="3" t="str">
        <f t="shared" si="155"/>
        <v xml:space="preserve"> </v>
      </c>
      <c r="AA173" s="3" t="str">
        <f t="shared" si="155"/>
        <v xml:space="preserve"> </v>
      </c>
      <c r="AB173" s="3" t="str">
        <f t="shared" si="155"/>
        <v xml:space="preserve"> </v>
      </c>
      <c r="AC173" s="3">
        <f t="shared" si="155"/>
        <v>0</v>
      </c>
      <c r="AD173" s="3">
        <f t="shared" si="155"/>
        <v>0</v>
      </c>
    </row>
    <row r="174" spans="3:30">
      <c r="C174" s="109" t="str">
        <f t="shared" si="138"/>
        <v>--</v>
      </c>
      <c r="D174" s="14"/>
      <c r="E174" s="123"/>
      <c r="F174" s="124" t="str">
        <f t="shared" si="139"/>
        <v xml:space="preserve"> </v>
      </c>
      <c r="G174" s="10"/>
      <c r="H174" s="124"/>
      <c r="I174" s="125"/>
      <c r="J174" s="126"/>
      <c r="K174" s="3">
        <f t="shared" ref="K174:AD174" si="156">IF(NOT(ISBLANK(K69)),$J69,0)</f>
        <v>0</v>
      </c>
      <c r="L174" s="3">
        <f t="shared" si="156"/>
        <v>0</v>
      </c>
      <c r="M174" s="3">
        <f t="shared" si="156"/>
        <v>0</v>
      </c>
      <c r="N174" s="3">
        <f t="shared" si="156"/>
        <v>0</v>
      </c>
      <c r="O174" s="3">
        <f t="shared" si="156"/>
        <v>0</v>
      </c>
      <c r="P174" s="3">
        <f t="shared" si="156"/>
        <v>0</v>
      </c>
      <c r="Q174" s="3">
        <f t="shared" si="156"/>
        <v>0</v>
      </c>
      <c r="R174" s="3">
        <f t="shared" si="156"/>
        <v>0</v>
      </c>
      <c r="S174" s="3" t="str">
        <f t="shared" si="156"/>
        <v xml:space="preserve"> </v>
      </c>
      <c r="T174" s="3" t="str">
        <f t="shared" si="156"/>
        <v xml:space="preserve"> </v>
      </c>
      <c r="U174" s="3" t="str">
        <f t="shared" si="156"/>
        <v xml:space="preserve"> </v>
      </c>
      <c r="V174" s="3" t="str">
        <f t="shared" si="156"/>
        <v xml:space="preserve"> </v>
      </c>
      <c r="W174" s="3" t="str">
        <f t="shared" si="156"/>
        <v xml:space="preserve"> </v>
      </c>
      <c r="X174" s="3" t="str">
        <f t="shared" si="156"/>
        <v xml:space="preserve"> </v>
      </c>
      <c r="Y174" s="3" t="str">
        <f t="shared" si="156"/>
        <v xml:space="preserve"> </v>
      </c>
      <c r="Z174" s="3" t="str">
        <f t="shared" si="156"/>
        <v xml:space="preserve"> </v>
      </c>
      <c r="AA174" s="3" t="str">
        <f t="shared" si="156"/>
        <v xml:space="preserve"> </v>
      </c>
      <c r="AB174" s="3" t="str">
        <f t="shared" si="156"/>
        <v xml:space="preserve"> </v>
      </c>
      <c r="AC174" s="3">
        <f t="shared" si="156"/>
        <v>0</v>
      </c>
      <c r="AD174" s="3">
        <f t="shared" si="156"/>
        <v>0</v>
      </c>
    </row>
    <row r="175" spans="3:30">
      <c r="C175" s="109" t="str">
        <f t="shared" si="138"/>
        <v>--</v>
      </c>
      <c r="D175" s="14"/>
      <c r="E175" s="123"/>
      <c r="F175" s="124" t="str">
        <f t="shared" si="139"/>
        <v xml:space="preserve"> </v>
      </c>
      <c r="G175" s="10"/>
      <c r="H175" s="124"/>
      <c r="I175" s="125"/>
      <c r="J175" s="126"/>
      <c r="K175" s="3">
        <f t="shared" ref="K175:AD175" si="157">IF(NOT(ISBLANK(K70)),$J70,0)</f>
        <v>0</v>
      </c>
      <c r="L175" s="3">
        <f t="shared" si="157"/>
        <v>0</v>
      </c>
      <c r="M175" s="3">
        <f t="shared" si="157"/>
        <v>0</v>
      </c>
      <c r="N175" s="3">
        <f t="shared" si="157"/>
        <v>0</v>
      </c>
      <c r="O175" s="3">
        <f t="shared" si="157"/>
        <v>0</v>
      </c>
      <c r="P175" s="3">
        <f t="shared" si="157"/>
        <v>0</v>
      </c>
      <c r="Q175" s="3">
        <f t="shared" si="157"/>
        <v>0</v>
      </c>
      <c r="R175" s="3">
        <f t="shared" si="157"/>
        <v>0</v>
      </c>
      <c r="S175" s="3" t="str">
        <f t="shared" si="157"/>
        <v xml:space="preserve"> </v>
      </c>
      <c r="T175" s="3" t="str">
        <f t="shared" si="157"/>
        <v xml:space="preserve"> </v>
      </c>
      <c r="U175" s="3" t="str">
        <f t="shared" si="157"/>
        <v xml:space="preserve"> </v>
      </c>
      <c r="V175" s="3" t="str">
        <f t="shared" si="157"/>
        <v xml:space="preserve"> </v>
      </c>
      <c r="W175" s="3" t="str">
        <f t="shared" si="157"/>
        <v xml:space="preserve"> </v>
      </c>
      <c r="X175" s="3" t="str">
        <f t="shared" si="157"/>
        <v xml:space="preserve"> </v>
      </c>
      <c r="Y175" s="3" t="str">
        <f t="shared" si="157"/>
        <v xml:space="preserve"> </v>
      </c>
      <c r="Z175" s="3" t="str">
        <f t="shared" si="157"/>
        <v xml:space="preserve"> </v>
      </c>
      <c r="AA175" s="3" t="str">
        <f t="shared" si="157"/>
        <v xml:space="preserve"> </v>
      </c>
      <c r="AB175" s="3" t="str">
        <f t="shared" si="157"/>
        <v xml:space="preserve"> </v>
      </c>
      <c r="AC175" s="3">
        <f t="shared" si="157"/>
        <v>0</v>
      </c>
      <c r="AD175" s="3">
        <f t="shared" si="157"/>
        <v>0</v>
      </c>
    </row>
    <row r="176" spans="3:30">
      <c r="C176" s="109" t="str">
        <f t="shared" si="138"/>
        <v>--</v>
      </c>
      <c r="D176" s="14"/>
      <c r="E176" s="123"/>
      <c r="F176" s="124" t="str">
        <f t="shared" si="139"/>
        <v xml:space="preserve"> </v>
      </c>
      <c r="G176" s="10"/>
      <c r="H176" s="124"/>
      <c r="I176" s="125"/>
      <c r="J176" s="126"/>
      <c r="K176" s="3" t="str">
        <f t="shared" ref="K176:AD176" si="158">IF(NOT(ISBLANK(K71)),$J71,0)</f>
        <v xml:space="preserve"> </v>
      </c>
      <c r="L176" s="3" t="str">
        <f t="shared" si="158"/>
        <v xml:space="preserve"> </v>
      </c>
      <c r="M176" s="3" t="str">
        <f t="shared" si="158"/>
        <v xml:space="preserve"> </v>
      </c>
      <c r="N176" s="3" t="str">
        <f t="shared" si="158"/>
        <v xml:space="preserve"> </v>
      </c>
      <c r="O176" s="3" t="str">
        <f t="shared" si="158"/>
        <v xml:space="preserve"> </v>
      </c>
      <c r="P176" s="3" t="str">
        <f t="shared" si="158"/>
        <v xml:space="preserve"> </v>
      </c>
      <c r="Q176" s="3" t="str">
        <f t="shared" si="158"/>
        <v xml:space="preserve"> </v>
      </c>
      <c r="R176" s="3" t="str">
        <f t="shared" si="158"/>
        <v xml:space="preserve"> </v>
      </c>
      <c r="S176" s="3" t="str">
        <f t="shared" si="158"/>
        <v xml:space="preserve"> </v>
      </c>
      <c r="T176" s="3" t="str">
        <f t="shared" si="158"/>
        <v xml:space="preserve"> </v>
      </c>
      <c r="U176" s="3" t="str">
        <f t="shared" si="158"/>
        <v xml:space="preserve"> </v>
      </c>
      <c r="V176" s="3" t="str">
        <f t="shared" si="158"/>
        <v xml:space="preserve"> </v>
      </c>
      <c r="W176" s="3" t="str">
        <f t="shared" si="158"/>
        <v xml:space="preserve"> </v>
      </c>
      <c r="X176" s="3" t="str">
        <f t="shared" si="158"/>
        <v xml:space="preserve"> </v>
      </c>
      <c r="Y176" s="3" t="str">
        <f t="shared" si="158"/>
        <v xml:space="preserve"> </v>
      </c>
      <c r="Z176" s="3" t="str">
        <f t="shared" si="158"/>
        <v xml:space="preserve"> </v>
      </c>
      <c r="AA176" s="3" t="str">
        <f t="shared" si="158"/>
        <v xml:space="preserve"> </v>
      </c>
      <c r="AB176" s="3" t="str">
        <f t="shared" si="158"/>
        <v xml:space="preserve"> </v>
      </c>
      <c r="AC176" s="3" t="str">
        <f t="shared" si="158"/>
        <v xml:space="preserve"> </v>
      </c>
      <c r="AD176" s="3" t="str">
        <f t="shared" si="158"/>
        <v xml:space="preserve"> </v>
      </c>
    </row>
    <row r="177" spans="3:30">
      <c r="C177" s="109" t="str">
        <f t="shared" si="138"/>
        <v>--</v>
      </c>
      <c r="D177" s="14"/>
      <c r="E177" s="123"/>
      <c r="F177" s="124" t="str">
        <f t="shared" si="139"/>
        <v xml:space="preserve"> </v>
      </c>
      <c r="G177" s="10"/>
      <c r="H177" s="124"/>
      <c r="I177" s="125"/>
      <c r="J177" s="126"/>
      <c r="K177" s="3">
        <f t="shared" ref="K177:AD177" si="159">IF(NOT(ISBLANK(K72)),$J72,0)</f>
        <v>0</v>
      </c>
      <c r="L177" s="3">
        <f t="shared" si="159"/>
        <v>0</v>
      </c>
      <c r="M177" s="3">
        <f t="shared" si="159"/>
        <v>0</v>
      </c>
      <c r="N177" s="3">
        <f t="shared" si="159"/>
        <v>0</v>
      </c>
      <c r="O177" s="3">
        <f t="shared" si="159"/>
        <v>0</v>
      </c>
      <c r="P177" s="3">
        <f t="shared" si="159"/>
        <v>0</v>
      </c>
      <c r="Q177" s="3">
        <f t="shared" si="159"/>
        <v>0</v>
      </c>
      <c r="R177" s="3">
        <f t="shared" si="159"/>
        <v>0</v>
      </c>
      <c r="S177" s="3">
        <f t="shared" si="159"/>
        <v>0</v>
      </c>
      <c r="T177" s="3">
        <f t="shared" si="159"/>
        <v>0</v>
      </c>
      <c r="U177" s="3">
        <f t="shared" si="159"/>
        <v>0</v>
      </c>
      <c r="V177" s="3">
        <f t="shared" si="159"/>
        <v>0</v>
      </c>
      <c r="W177" s="3">
        <f t="shared" si="159"/>
        <v>0</v>
      </c>
      <c r="X177" s="3">
        <f t="shared" si="159"/>
        <v>0</v>
      </c>
      <c r="Y177" s="3">
        <f t="shared" si="159"/>
        <v>0</v>
      </c>
      <c r="Z177" s="3">
        <f t="shared" si="159"/>
        <v>0</v>
      </c>
      <c r="AA177" s="3">
        <f t="shared" si="159"/>
        <v>0</v>
      </c>
      <c r="AB177" s="3">
        <f t="shared" si="159"/>
        <v>0</v>
      </c>
      <c r="AC177" s="3">
        <f t="shared" si="159"/>
        <v>0</v>
      </c>
      <c r="AD177" s="3">
        <f t="shared" si="159"/>
        <v>0</v>
      </c>
    </row>
    <row r="178" spans="3:30">
      <c r="C178" s="103"/>
    </row>
    <row r="179" spans="3:30">
      <c r="C179" s="103"/>
    </row>
  </sheetData>
  <mergeCells count="14">
    <mergeCell ref="C102:J103"/>
    <mergeCell ref="J47:J48"/>
    <mergeCell ref="C47:I48"/>
    <mergeCell ref="I44:I45"/>
    <mergeCell ref="I42:I43"/>
    <mergeCell ref="C49:D49"/>
    <mergeCell ref="F49:J49"/>
    <mergeCell ref="AU2:AV2"/>
    <mergeCell ref="AU1:AV1"/>
    <mergeCell ref="K50:N50"/>
    <mergeCell ref="O50:R50"/>
    <mergeCell ref="S50:V50"/>
    <mergeCell ref="W50:Z50"/>
    <mergeCell ref="AA50:AD50"/>
  </mergeCells>
  <pageMargins left="0.7" right="0.7" top="0.75" bottom="0.75" header="0.3" footer="0.3"/>
  <pageSetup orientation="portrait" r:id="rId1"/>
  <rowBreaks count="1" manualBreakCount="1">
    <brk id="42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EFAEB5-9FAF-4BF0-ACB6-63BF6055E5F7}">
          <x14:formula1>
            <xm:f>'Power Blocks'!$C$20:$C$31</xm:f>
          </x14:formula1>
          <xm:sqref>C51:C76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D2E0-5C77-44F8-BE0E-35DF9D115710}">
  <dimension ref="C1:AX177"/>
  <sheetViews>
    <sheetView topLeftCell="A44" zoomScale="120" zoomScaleNormal="120" workbookViewId="0">
      <selection activeCell="C58" sqref="C58"/>
    </sheetView>
  </sheetViews>
  <sheetFormatPr defaultColWidth="8.85546875" defaultRowHeight="15"/>
  <cols>
    <col min="1" max="1" width="3.42578125" customWidth="1"/>
    <col min="2" max="2" width="4.7109375" customWidth="1"/>
    <col min="3" max="3" width="9.140625" customWidth="1"/>
    <col min="4" max="4" width="6.140625" style="25" customWidth="1"/>
    <col min="5" max="5" width="12.28515625" style="78" customWidth="1"/>
    <col min="6" max="6" width="9.140625" style="51" customWidth="1"/>
    <col min="7" max="7" width="13" style="18" customWidth="1"/>
    <col min="8" max="8" width="10.140625" style="51" customWidth="1"/>
    <col min="9" max="9" width="9.42578125" style="54" customWidth="1"/>
    <col min="10" max="10" width="9.42578125" style="65" customWidth="1"/>
    <col min="11" max="12" width="7.140625" customWidth="1"/>
    <col min="13" max="13" width="7.85546875" customWidth="1"/>
    <col min="14" max="15" width="7.140625" customWidth="1"/>
    <col min="16" max="16" width="9.28515625" customWidth="1"/>
    <col min="17" max="39" width="7.140625" customWidth="1"/>
    <col min="41" max="41" width="10.42578125" customWidth="1"/>
    <col min="44" max="44" width="5.7109375" customWidth="1"/>
    <col min="47" max="47" width="10.42578125" style="18" customWidth="1"/>
    <col min="48" max="48" width="10.42578125" style="92" customWidth="1"/>
  </cols>
  <sheetData>
    <row r="1" spans="9:50" ht="9.9499999999999993" customHeight="1">
      <c r="I1" s="53"/>
      <c r="J1" s="64"/>
      <c r="AU1" s="214" t="s">
        <v>0</v>
      </c>
      <c r="AV1" s="214"/>
    </row>
    <row r="2" spans="9:50" ht="9.9499999999999993" customHeight="1">
      <c r="I2" s="53"/>
      <c r="J2" s="64"/>
      <c r="AO2" s="2"/>
      <c r="AU2" s="213" t="s">
        <v>1</v>
      </c>
      <c r="AV2" s="213"/>
    </row>
    <row r="3" spans="9:50" ht="9.9499999999999993" customHeight="1">
      <c r="I3" s="53"/>
      <c r="J3" s="64"/>
      <c r="AU3" s="15" t="s">
        <v>2</v>
      </c>
      <c r="AV3" s="52" t="s">
        <v>3</v>
      </c>
      <c r="AW3" s="3" t="s">
        <v>33</v>
      </c>
    </row>
    <row r="4" spans="9:50" ht="9.9499999999999993" customHeight="1">
      <c r="I4" s="53"/>
      <c r="J4" s="64"/>
      <c r="AU4" s="15">
        <v>2024</v>
      </c>
      <c r="AV4" s="52">
        <f>HLOOKUP(AU4,$K$47:$AD$48,2)</f>
        <v>0.59800000000000009</v>
      </c>
      <c r="AW4" s="52">
        <f>HLOOKUP($AU4,$K$45:$AD$46,2)</f>
        <v>9.8000000000000087E-2</v>
      </c>
    </row>
    <row r="5" spans="9:50" ht="9.9499999999999993" customHeight="1">
      <c r="I5" s="53"/>
      <c r="J5" s="64"/>
      <c r="AU5" s="15">
        <v>2024.25</v>
      </c>
      <c r="AV5" s="90">
        <f>AV4</f>
        <v>0.59800000000000009</v>
      </c>
      <c r="AW5" s="90">
        <f>AW4</f>
        <v>9.8000000000000087E-2</v>
      </c>
    </row>
    <row r="6" spans="9:50" ht="9.9499999999999993" customHeight="1">
      <c r="I6" s="53"/>
      <c r="J6" s="64"/>
      <c r="AU6" s="15">
        <v>2024.25</v>
      </c>
      <c r="AV6" s="52">
        <f>HLOOKUP(AU6,$K$47:$AD$48,2)</f>
        <v>0.59800000000000009</v>
      </c>
      <c r="AW6" s="52">
        <f>HLOOKUP($AU6,$K$45:$AD$46,2)</f>
        <v>9.8000000000000087E-2</v>
      </c>
    </row>
    <row r="7" spans="9:50" ht="9.9499999999999993" customHeight="1">
      <c r="I7" s="53"/>
      <c r="J7" s="64"/>
      <c r="AD7" s="15"/>
      <c r="AU7" s="15">
        <v>2024.5</v>
      </c>
      <c r="AV7" s="90">
        <f>AV6</f>
        <v>0.59800000000000009</v>
      </c>
      <c r="AW7" s="90">
        <f>AW6</f>
        <v>9.8000000000000087E-2</v>
      </c>
    </row>
    <row r="8" spans="9:50" ht="9.9499999999999993" customHeight="1">
      <c r="I8" s="53"/>
      <c r="J8" s="64"/>
      <c r="AU8" s="15">
        <v>2024.5</v>
      </c>
      <c r="AV8" s="52">
        <f>HLOOKUP(AU8,$K$47:$AD$48,2)</f>
        <v>0.74942857142857155</v>
      </c>
      <c r="AW8" s="52">
        <f>HLOOKUP($AU8,$K$45:$AD$46,2)</f>
        <v>0.24942857142857155</v>
      </c>
    </row>
    <row r="9" spans="9:50" ht="9.9499999999999993" customHeight="1">
      <c r="AU9" s="15">
        <v>2024.75</v>
      </c>
      <c r="AV9" s="90">
        <f>AV8</f>
        <v>0.74942857142857155</v>
      </c>
      <c r="AW9" s="90">
        <f>AW8</f>
        <v>0.24942857142857155</v>
      </c>
    </row>
    <row r="10" spans="9:50" ht="9.9499999999999993" customHeight="1">
      <c r="AU10" s="15">
        <v>2024.75</v>
      </c>
      <c r="AV10" s="52">
        <f>HLOOKUP(AU10,$K$47:$AD$48,2)</f>
        <v>0.74942857142857155</v>
      </c>
      <c r="AW10" s="52">
        <f>HLOOKUP($AU10,$K$45:$AD$46,2)</f>
        <v>0.24942857142857155</v>
      </c>
    </row>
    <row r="11" spans="9:50" ht="9.9499999999999993" customHeight="1">
      <c r="N11" t="s">
        <v>65</v>
      </c>
      <c r="AU11" s="15">
        <v>2025</v>
      </c>
      <c r="AV11" s="90">
        <f>AV10</f>
        <v>0.74942857142857155</v>
      </c>
      <c r="AW11" s="90">
        <f>AW10</f>
        <v>0.24942857142857155</v>
      </c>
    </row>
    <row r="12" spans="9:50" ht="9.9499999999999993" customHeight="1">
      <c r="AU12" s="15">
        <v>2025</v>
      </c>
      <c r="AV12" s="52">
        <f>HLOOKUP(AU12,$K$47:$AD$48,2)</f>
        <v>0.74942857142857155</v>
      </c>
      <c r="AW12" s="52">
        <f>HLOOKUP($AU12,$K$45:$AD$46,2)</f>
        <v>0.24942857142857155</v>
      </c>
      <c r="AX12" s="18"/>
    </row>
    <row r="13" spans="9:50" ht="9.9499999999999993" customHeight="1">
      <c r="AU13" s="15">
        <v>2025.25</v>
      </c>
      <c r="AV13" s="90">
        <f>AV12</f>
        <v>0.74942857142857155</v>
      </c>
      <c r="AW13" s="90">
        <f>AW12</f>
        <v>0.24942857142857155</v>
      </c>
    </row>
    <row r="14" spans="9:50" ht="9.9499999999999993" customHeight="1">
      <c r="AU14" s="15">
        <v>2025.25</v>
      </c>
      <c r="AV14" s="52">
        <f>HLOOKUP(AU14,$K$47:$AD$48,2)</f>
        <v>0.74942857142857155</v>
      </c>
      <c r="AW14" s="52">
        <f>HLOOKUP($AU14,$K$45:$AD$46,2)</f>
        <v>0.24942857142857155</v>
      </c>
    </row>
    <row r="15" spans="9:50" ht="9.9499999999999993" customHeight="1">
      <c r="AU15" s="15">
        <v>2025.5</v>
      </c>
      <c r="AV15" s="90">
        <f>AV14</f>
        <v>0.74942857142857155</v>
      </c>
      <c r="AW15" s="90">
        <f>AW14</f>
        <v>0.24942857142857155</v>
      </c>
    </row>
    <row r="16" spans="9:50" ht="9.9499999999999993" customHeight="1">
      <c r="AU16" s="15">
        <v>2025.5</v>
      </c>
      <c r="AV16" s="52">
        <f>HLOOKUP(AU16,$K$47:$AD$48,2)</f>
        <v>0.74942857142857155</v>
      </c>
      <c r="AW16" s="52">
        <f>HLOOKUP($AU16,$K$45:$AD$46,2)</f>
        <v>0.24942857142857155</v>
      </c>
    </row>
    <row r="17" spans="3:49" ht="9.9499999999999993" customHeight="1">
      <c r="AU17" s="15">
        <v>2025.75</v>
      </c>
      <c r="AV17" s="90">
        <f>AV16</f>
        <v>0.74942857142857155</v>
      </c>
      <c r="AW17" s="90">
        <f>AW16</f>
        <v>0.24942857142857155</v>
      </c>
    </row>
    <row r="18" spans="3:49" ht="9.9499999999999993" customHeight="1">
      <c r="AU18" s="15">
        <v>2025.75</v>
      </c>
      <c r="AV18" s="52">
        <f>HLOOKUP(AU18,$K$47:$AD$48,2)</f>
        <v>0.8351428571428573</v>
      </c>
      <c r="AW18" s="52">
        <f>HLOOKUP($AU18,$K$45:$AD$46,2)</f>
        <v>0.3351428571428573</v>
      </c>
    </row>
    <row r="19" spans="3:49" ht="9.9499999999999993" customHeight="1">
      <c r="C19" s="17"/>
      <c r="AU19" s="15">
        <v>2026</v>
      </c>
      <c r="AV19" s="90">
        <f>AV18</f>
        <v>0.8351428571428573</v>
      </c>
      <c r="AW19" s="90">
        <f>AW18</f>
        <v>0.3351428571428573</v>
      </c>
    </row>
    <row r="20" spans="3:49" ht="9.9499999999999993" customHeight="1">
      <c r="AU20" s="15">
        <v>2026</v>
      </c>
      <c r="AV20" s="52">
        <f>HLOOKUP(AU20,$K$47:$AD$48,2)</f>
        <v>0.8351428571428573</v>
      </c>
      <c r="AW20" s="52">
        <f>HLOOKUP($AU20,$K$45:$AD$46,2)</f>
        <v>0.3351428571428573</v>
      </c>
    </row>
    <row r="21" spans="3:49" ht="9.9499999999999993" customHeight="1">
      <c r="AU21" s="15">
        <v>2026.25</v>
      </c>
      <c r="AV21" s="90">
        <f>AV20</f>
        <v>0.8351428571428573</v>
      </c>
      <c r="AW21" s="90">
        <f>AW20</f>
        <v>0.3351428571428573</v>
      </c>
    </row>
    <row r="22" spans="3:49" ht="9.9499999999999993" customHeight="1">
      <c r="AU22" s="15">
        <v>2026.25</v>
      </c>
      <c r="AV22" s="52">
        <f>HLOOKUP(AU22,$K$47:$AD$48,2)</f>
        <v>0.8351428571428573</v>
      </c>
      <c r="AW22" s="52">
        <f>HLOOKUP($AU22,$K$45:$AD$46,2)</f>
        <v>0.3351428571428573</v>
      </c>
    </row>
    <row r="23" spans="3:49" ht="9.9499999999999993" customHeight="1">
      <c r="AU23" s="15">
        <v>2026.5</v>
      </c>
      <c r="AV23" s="90">
        <f>AV22</f>
        <v>0.8351428571428573</v>
      </c>
      <c r="AW23" s="90">
        <f>AW22</f>
        <v>0.3351428571428573</v>
      </c>
    </row>
    <row r="24" spans="3:49" ht="9.9499999999999993" customHeight="1">
      <c r="AU24" s="15">
        <v>2026.5</v>
      </c>
      <c r="AV24" s="52">
        <f>HLOOKUP(AU24,$K$47:$AD$48,2)</f>
        <v>0.8351428571428573</v>
      </c>
      <c r="AW24" s="52">
        <f>HLOOKUP($AU24,$K$45:$AD$46,2)</f>
        <v>0.3351428571428573</v>
      </c>
    </row>
    <row r="25" spans="3:49" ht="9.9499999999999993" customHeight="1">
      <c r="AU25" s="15">
        <v>2026.75</v>
      </c>
      <c r="AV25" s="90">
        <f>AV24</f>
        <v>0.8351428571428573</v>
      </c>
      <c r="AW25" s="90">
        <f>AW24</f>
        <v>0.3351428571428573</v>
      </c>
    </row>
    <row r="26" spans="3:49" ht="9.9499999999999993" customHeight="1">
      <c r="AU26" s="15">
        <v>2026.75</v>
      </c>
      <c r="AV26" s="52">
        <f>HLOOKUP(AU26,$K$47:$AD$48,2)</f>
        <v>0.8351428571428573</v>
      </c>
      <c r="AW26" s="52">
        <f>HLOOKUP($AU26,$K$45:$AD$46,2)</f>
        <v>0.3351428571428573</v>
      </c>
    </row>
    <row r="27" spans="3:49" ht="9.9499999999999993" customHeight="1">
      <c r="O27" s="2"/>
      <c r="AU27" s="15">
        <v>2027</v>
      </c>
      <c r="AV27" s="90">
        <f>AV26</f>
        <v>0.8351428571428573</v>
      </c>
      <c r="AW27" s="90">
        <f>AW26</f>
        <v>0.3351428571428573</v>
      </c>
    </row>
    <row r="28" spans="3:49" ht="9.9499999999999993" customHeight="1">
      <c r="AU28" s="15">
        <v>2027</v>
      </c>
      <c r="AV28" s="52">
        <f>HLOOKUP(AU28,$K$47:$AD$48,2)</f>
        <v>0.8351428571428573</v>
      </c>
      <c r="AW28" s="52">
        <f>HLOOKUP($AU28,$K$45:$AD$46,2)</f>
        <v>0.3351428571428573</v>
      </c>
    </row>
    <row r="29" spans="3:49" ht="9.9499999999999993" customHeight="1">
      <c r="AU29" s="15">
        <v>2027.25</v>
      </c>
      <c r="AV29" s="90">
        <f>AV28</f>
        <v>0.8351428571428573</v>
      </c>
      <c r="AW29" s="90">
        <f>AW28</f>
        <v>0.3351428571428573</v>
      </c>
    </row>
    <row r="30" spans="3:49" ht="9.9499999999999993" customHeight="1">
      <c r="AU30" s="15">
        <v>2027.25</v>
      </c>
      <c r="AV30" s="52">
        <f>HLOOKUP(AU30,$K$47:$AD$48,2)</f>
        <v>0.33514285714285719</v>
      </c>
      <c r="AW30" s="52">
        <f>HLOOKUP($AU30,$K$45:$AD$46,2)</f>
        <v>0.33514285714285719</v>
      </c>
    </row>
    <row r="31" spans="3:49" ht="9.9499999999999993" customHeight="1">
      <c r="AU31" s="15">
        <v>2027.5</v>
      </c>
      <c r="AV31" s="90">
        <f>AV30</f>
        <v>0.33514285714285719</v>
      </c>
      <c r="AW31" s="90">
        <f>AW30</f>
        <v>0.33514285714285719</v>
      </c>
    </row>
    <row r="32" spans="3:49" ht="9.9499999999999993" customHeight="1">
      <c r="AU32" s="15">
        <v>2027.5</v>
      </c>
      <c r="AV32" s="52">
        <f>HLOOKUP(AU32,$K$47:$AD$48,2)</f>
        <v>0.33514285714285719</v>
      </c>
      <c r="AW32" s="52">
        <f>HLOOKUP($AU32,$K$45:$AD$46,2)</f>
        <v>0.33514285714285719</v>
      </c>
    </row>
    <row r="33" spans="3:49" ht="9.9499999999999993" customHeight="1">
      <c r="AU33" s="15">
        <v>2027.75</v>
      </c>
      <c r="AV33" s="90">
        <f>AV32</f>
        <v>0.33514285714285719</v>
      </c>
      <c r="AW33" s="90">
        <f>AW32</f>
        <v>0.33514285714285719</v>
      </c>
    </row>
    <row r="34" spans="3:49" ht="9.9499999999999993" customHeight="1">
      <c r="AU34" s="15">
        <v>2027.75</v>
      </c>
      <c r="AV34" s="52">
        <f>HLOOKUP(AU34,$K$47:$AD$48,2)</f>
        <v>0.33514285714285719</v>
      </c>
      <c r="AW34" s="52">
        <f>HLOOKUP($AU34,$K$45:$AD$46,2)</f>
        <v>0.33514285714285719</v>
      </c>
    </row>
    <row r="35" spans="3:49" ht="9.9499999999999993" customHeight="1">
      <c r="AU35" s="15">
        <v>2028</v>
      </c>
      <c r="AV35" s="90">
        <f>AV34</f>
        <v>0.33514285714285719</v>
      </c>
      <c r="AW35" s="90">
        <f>AW34</f>
        <v>0.33514285714285719</v>
      </c>
    </row>
    <row r="36" spans="3:49" ht="9.9499999999999993" customHeight="1">
      <c r="AU36" s="61">
        <v>2028</v>
      </c>
      <c r="AV36" s="91">
        <f>HLOOKUP(AU36,$K$47:$AD$48,2)</f>
        <v>0.33514285714285719</v>
      </c>
      <c r="AW36" s="52">
        <f>HLOOKUP($AU36,$K$45:$AD$46,2)</f>
        <v>0.33514285714285719</v>
      </c>
    </row>
    <row r="37" spans="3:49" ht="9.9499999999999993" customHeight="1">
      <c r="AU37" s="15">
        <v>2028.25</v>
      </c>
      <c r="AV37" s="90">
        <f>AV36</f>
        <v>0.33514285714285719</v>
      </c>
      <c r="AW37" s="90">
        <f>AW36</f>
        <v>0.33514285714285719</v>
      </c>
    </row>
    <row r="38" spans="3:49" ht="9.9499999999999993" customHeight="1">
      <c r="AU38" s="15">
        <v>2028.25</v>
      </c>
      <c r="AV38" s="52">
        <f>HLOOKUP(AU38,$K$47:$AD$48,2)</f>
        <v>0.33514285714285719</v>
      </c>
      <c r="AW38" s="52">
        <f>HLOOKUP($AU38,$K$45:$AD$46,2)</f>
        <v>0.33514285714285719</v>
      </c>
    </row>
    <row r="39" spans="3:49" ht="9.9499999999999993" customHeight="1">
      <c r="AU39" s="15">
        <v>2028.5</v>
      </c>
      <c r="AV39" s="90">
        <f>AV38</f>
        <v>0.33514285714285719</v>
      </c>
      <c r="AW39" s="90">
        <f>AW38</f>
        <v>0.33514285714285719</v>
      </c>
    </row>
    <row r="40" spans="3:49" ht="9.9499999999999993" customHeight="1">
      <c r="AU40" s="15">
        <v>2028.5</v>
      </c>
      <c r="AV40" s="52">
        <f>HLOOKUP(AU40,$K$47:$AD$48,2)</f>
        <v>0.33514285714285719</v>
      </c>
      <c r="AW40" s="52">
        <f>HLOOKUP($AU40,$K$45:$AD$46,2)</f>
        <v>0.33514285714285719</v>
      </c>
    </row>
    <row r="41" spans="3:49" ht="9.9499999999999993" customHeight="1">
      <c r="I41" s="53"/>
      <c r="J41" s="64"/>
      <c r="AU41" s="15">
        <v>2028.75</v>
      </c>
      <c r="AV41" s="90">
        <f>AV40</f>
        <v>0.33514285714285719</v>
      </c>
      <c r="AW41" s="90">
        <f>AW40</f>
        <v>0.33514285714285719</v>
      </c>
    </row>
    <row r="42" spans="3:49" ht="9.9499999999999993" customHeight="1">
      <c r="I42" s="184"/>
      <c r="J42" s="6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U42" s="15">
        <v>2028.75</v>
      </c>
      <c r="AV42" s="52">
        <f>HLOOKUP(AU42,$K$47:$AD$48,2)</f>
        <v>0.33514285714285719</v>
      </c>
      <c r="AW42" s="52">
        <f>HLOOKUP($AU42,$K$45:$AD$46,2)</f>
        <v>0.33514285714285719</v>
      </c>
    </row>
    <row r="43" spans="3:49" ht="9.9499999999999993" customHeight="1">
      <c r="I43" s="184"/>
      <c r="J43" s="6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spans="3:49" ht="9.9499999999999993" customHeight="1">
      <c r="I44" s="184"/>
      <c r="J44" s="66"/>
    </row>
    <row r="45" spans="3:49" ht="9.9499999999999993" customHeight="1">
      <c r="I45" s="184"/>
      <c r="J45" s="66"/>
      <c r="K45" s="151">
        <v>2024</v>
      </c>
      <c r="L45" s="151">
        <v>2024.25</v>
      </c>
      <c r="M45" s="151">
        <v>2024.5</v>
      </c>
      <c r="N45" s="151">
        <v>2024.75</v>
      </c>
      <c r="O45" s="151">
        <v>2025</v>
      </c>
      <c r="P45" s="151">
        <v>2025.25</v>
      </c>
      <c r="Q45" s="151">
        <f t="shared" ref="Q45:AD45" si="0">P45+0.25</f>
        <v>2025.5</v>
      </c>
      <c r="R45" s="151">
        <f t="shared" si="0"/>
        <v>2025.75</v>
      </c>
      <c r="S45" s="151">
        <f t="shared" si="0"/>
        <v>2026</v>
      </c>
      <c r="T45" s="151">
        <f t="shared" si="0"/>
        <v>2026.25</v>
      </c>
      <c r="U45" s="151">
        <f t="shared" si="0"/>
        <v>2026.5</v>
      </c>
      <c r="V45" s="151">
        <f t="shared" si="0"/>
        <v>2026.75</v>
      </c>
      <c r="W45" s="151">
        <f t="shared" si="0"/>
        <v>2027</v>
      </c>
      <c r="X45" s="151">
        <f t="shared" si="0"/>
        <v>2027.25</v>
      </c>
      <c r="Y45" s="151">
        <f t="shared" si="0"/>
        <v>2027.5</v>
      </c>
      <c r="Z45" s="151">
        <f t="shared" si="0"/>
        <v>2027.75</v>
      </c>
      <c r="AA45" s="151">
        <f t="shared" si="0"/>
        <v>2028</v>
      </c>
      <c r="AB45" s="151">
        <f t="shared" si="0"/>
        <v>2028.25</v>
      </c>
      <c r="AC45" s="151">
        <f t="shared" si="0"/>
        <v>2028.5</v>
      </c>
      <c r="AD45" s="151">
        <f t="shared" si="0"/>
        <v>2028.75</v>
      </c>
    </row>
    <row r="46" spans="3:49" ht="15.95" thickBot="1">
      <c r="I46" s="185"/>
      <c r="J46" s="183" t="s">
        <v>33</v>
      </c>
      <c r="K46" s="146">
        <f>K48-K51</f>
        <v>9.8000000000000087E-2</v>
      </c>
      <c r="L46" s="146">
        <f t="shared" ref="L46:AD46" si="1">L48-L51</f>
        <v>9.8000000000000087E-2</v>
      </c>
      <c r="M46" s="146">
        <f t="shared" si="1"/>
        <v>0.24942857142857155</v>
      </c>
      <c r="N46" s="146">
        <f t="shared" si="1"/>
        <v>0.24942857142857155</v>
      </c>
      <c r="O46" s="146">
        <f t="shared" si="1"/>
        <v>0.24942857142857155</v>
      </c>
      <c r="P46" s="146">
        <f t="shared" si="1"/>
        <v>0.24942857142857155</v>
      </c>
      <c r="Q46" s="146">
        <f t="shared" si="1"/>
        <v>0.24942857142857155</v>
      </c>
      <c r="R46" s="146">
        <f t="shared" si="1"/>
        <v>0.3351428571428573</v>
      </c>
      <c r="S46" s="146">
        <f t="shared" si="1"/>
        <v>0.3351428571428573</v>
      </c>
      <c r="T46" s="146">
        <f t="shared" si="1"/>
        <v>0.3351428571428573</v>
      </c>
      <c r="U46" s="146">
        <f t="shared" si="1"/>
        <v>0.3351428571428573</v>
      </c>
      <c r="V46" s="146">
        <f t="shared" si="1"/>
        <v>0.3351428571428573</v>
      </c>
      <c r="W46" s="146">
        <f t="shared" si="1"/>
        <v>0.3351428571428573</v>
      </c>
      <c r="X46" s="146">
        <f t="shared" si="1"/>
        <v>0.33514285714285719</v>
      </c>
      <c r="Y46" s="146">
        <f t="shared" si="1"/>
        <v>0.33514285714285719</v>
      </c>
      <c r="Z46" s="146">
        <f t="shared" si="1"/>
        <v>0.33514285714285719</v>
      </c>
      <c r="AA46" s="146">
        <f t="shared" si="1"/>
        <v>0.33514285714285719</v>
      </c>
      <c r="AB46" s="146">
        <f t="shared" si="1"/>
        <v>0.33514285714285719</v>
      </c>
      <c r="AC46" s="146">
        <f t="shared" si="1"/>
        <v>0.33514285714285719</v>
      </c>
      <c r="AD46" s="146">
        <f t="shared" si="1"/>
        <v>0.33514285714285719</v>
      </c>
    </row>
    <row r="47" spans="3:49" ht="14.45" customHeight="1">
      <c r="C47" s="220" t="s">
        <v>66</v>
      </c>
      <c r="D47" s="221"/>
      <c r="E47" s="221"/>
      <c r="F47" s="221"/>
      <c r="G47" s="221"/>
      <c r="H47" s="221"/>
      <c r="I47" s="222"/>
      <c r="J47" s="219" t="s">
        <v>34</v>
      </c>
      <c r="K47" s="76">
        <v>2024</v>
      </c>
      <c r="L47" s="76">
        <v>2024.25</v>
      </c>
      <c r="M47" s="76">
        <v>2024.5</v>
      </c>
      <c r="N47" s="76">
        <v>2024.75</v>
      </c>
      <c r="O47" s="76">
        <v>2025</v>
      </c>
      <c r="P47" s="76">
        <v>2025.25</v>
      </c>
      <c r="Q47" s="76">
        <f t="shared" ref="Q47:AD47" si="2">P47+0.25</f>
        <v>2025.5</v>
      </c>
      <c r="R47" s="76">
        <f t="shared" si="2"/>
        <v>2025.75</v>
      </c>
      <c r="S47" s="76">
        <f t="shared" si="2"/>
        <v>2026</v>
      </c>
      <c r="T47" s="76">
        <f t="shared" si="2"/>
        <v>2026.25</v>
      </c>
      <c r="U47" s="76">
        <f t="shared" si="2"/>
        <v>2026.5</v>
      </c>
      <c r="V47" s="76">
        <f t="shared" si="2"/>
        <v>2026.75</v>
      </c>
      <c r="W47" s="76">
        <f t="shared" si="2"/>
        <v>2027</v>
      </c>
      <c r="X47" s="76">
        <f t="shared" si="2"/>
        <v>2027.25</v>
      </c>
      <c r="Y47" s="76">
        <f t="shared" si="2"/>
        <v>2027.5</v>
      </c>
      <c r="Z47" s="76">
        <f t="shared" si="2"/>
        <v>2027.75</v>
      </c>
      <c r="AA47" s="76">
        <f t="shared" si="2"/>
        <v>2028</v>
      </c>
      <c r="AB47" s="76">
        <f t="shared" si="2"/>
        <v>2028.25</v>
      </c>
      <c r="AC47" s="76">
        <f t="shared" si="2"/>
        <v>2028.5</v>
      </c>
      <c r="AD47" s="76">
        <f t="shared" si="2"/>
        <v>2028.75</v>
      </c>
      <c r="AE47" s="25"/>
      <c r="AF47" s="25"/>
      <c r="AG47" s="25"/>
      <c r="AH47" s="25"/>
      <c r="AI47" s="25"/>
      <c r="AJ47" s="25"/>
      <c r="AK47" s="25"/>
      <c r="AL47" s="25"/>
      <c r="AM47" s="25"/>
    </row>
    <row r="48" spans="3:49" s="18" customFormat="1" ht="14.45" customHeight="1" thickBot="1">
      <c r="C48" s="223"/>
      <c r="D48" s="224"/>
      <c r="E48" s="224"/>
      <c r="F48" s="224"/>
      <c r="G48" s="224"/>
      <c r="H48" s="224"/>
      <c r="I48" s="225"/>
      <c r="J48" s="219"/>
      <c r="K48" s="89">
        <f t="shared" ref="K48:AD48" si="3">SUM(K51:K74)</f>
        <v>0.59800000000000009</v>
      </c>
      <c r="L48" s="89">
        <f t="shared" si="3"/>
        <v>0.59800000000000009</v>
      </c>
      <c r="M48" s="89">
        <f t="shared" si="3"/>
        <v>0.74942857142857155</v>
      </c>
      <c r="N48" s="89">
        <f t="shared" si="3"/>
        <v>0.74942857142857155</v>
      </c>
      <c r="O48" s="89">
        <f t="shared" si="3"/>
        <v>0.74942857142857155</v>
      </c>
      <c r="P48" s="89">
        <f t="shared" si="3"/>
        <v>0.74942857142857155</v>
      </c>
      <c r="Q48" s="89">
        <f t="shared" si="3"/>
        <v>0.74942857142857155</v>
      </c>
      <c r="R48" s="89">
        <f t="shared" si="3"/>
        <v>0.8351428571428573</v>
      </c>
      <c r="S48" s="89">
        <f t="shared" si="3"/>
        <v>0.8351428571428573</v>
      </c>
      <c r="T48" s="89">
        <f t="shared" si="3"/>
        <v>0.8351428571428573</v>
      </c>
      <c r="U48" s="89">
        <f t="shared" si="3"/>
        <v>0.8351428571428573</v>
      </c>
      <c r="V48" s="89">
        <f t="shared" si="3"/>
        <v>0.8351428571428573</v>
      </c>
      <c r="W48" s="89">
        <f t="shared" si="3"/>
        <v>0.8351428571428573</v>
      </c>
      <c r="X48" s="89">
        <f t="shared" si="3"/>
        <v>0.33514285714285719</v>
      </c>
      <c r="Y48" s="89">
        <f t="shared" si="3"/>
        <v>0.33514285714285719</v>
      </c>
      <c r="Z48" s="89">
        <f t="shared" si="3"/>
        <v>0.33514285714285719</v>
      </c>
      <c r="AA48" s="89">
        <f t="shared" si="3"/>
        <v>0.33514285714285719</v>
      </c>
      <c r="AB48" s="89">
        <f t="shared" si="3"/>
        <v>0.33514285714285719</v>
      </c>
      <c r="AC48" s="89">
        <f t="shared" si="3"/>
        <v>0.33514285714285719</v>
      </c>
      <c r="AD48" s="60">
        <f t="shared" si="3"/>
        <v>0.33514285714285719</v>
      </c>
      <c r="AV48" s="92"/>
    </row>
    <row r="49" spans="3:48" ht="15.95" thickBot="1">
      <c r="C49" s="227" t="s">
        <v>35</v>
      </c>
      <c r="D49" s="227"/>
      <c r="E49" s="79"/>
      <c r="F49" s="228" t="s">
        <v>36</v>
      </c>
      <c r="G49" s="229"/>
      <c r="H49" s="229"/>
      <c r="I49" s="229"/>
      <c r="J49" s="230"/>
    </row>
    <row r="50" spans="3:48" s="2" customFormat="1" ht="15.95" thickBot="1">
      <c r="C50" s="70" t="s">
        <v>37</v>
      </c>
      <c r="D50" s="71" t="s">
        <v>38</v>
      </c>
      <c r="E50" s="71" t="s">
        <v>39</v>
      </c>
      <c r="F50" s="68" t="s">
        <v>40</v>
      </c>
      <c r="G50" s="68" t="s">
        <v>41</v>
      </c>
      <c r="H50" s="68" t="s">
        <v>3</v>
      </c>
      <c r="I50" s="69" t="s">
        <v>42</v>
      </c>
      <c r="J50" s="74" t="s">
        <v>43</v>
      </c>
      <c r="K50" s="215">
        <v>2024</v>
      </c>
      <c r="L50" s="216"/>
      <c r="M50" s="216"/>
      <c r="N50" s="217"/>
      <c r="O50" s="215">
        <v>2025</v>
      </c>
      <c r="P50" s="216"/>
      <c r="Q50" s="216"/>
      <c r="R50" s="217"/>
      <c r="S50" s="215">
        <v>2026</v>
      </c>
      <c r="T50" s="216"/>
      <c r="U50" s="216"/>
      <c r="V50" s="217"/>
      <c r="W50" s="215">
        <v>2027</v>
      </c>
      <c r="X50" s="216"/>
      <c r="Y50" s="216"/>
      <c r="Z50" s="217"/>
      <c r="AA50" s="215">
        <v>2028</v>
      </c>
      <c r="AB50" s="216"/>
      <c r="AC50" s="216"/>
      <c r="AD50" s="217"/>
      <c r="AU50" s="51"/>
      <c r="AV50" s="93"/>
    </row>
    <row r="51" spans="3:48" ht="14.45" customHeight="1">
      <c r="C51" s="72" t="s">
        <v>46</v>
      </c>
      <c r="D51" s="73">
        <v>500</v>
      </c>
      <c r="E51" s="77" t="s">
        <v>67</v>
      </c>
      <c r="F51" s="186" t="s">
        <v>68</v>
      </c>
      <c r="G51" s="187">
        <f>IF(F51=" "," ",D51/_xlfn.XLOOKUP($C51,'Power Blocks'!$C$20:$C$31,'Power Blocks'!$I$20:$I$31,,))</f>
        <v>5</v>
      </c>
      <c r="H51" s="188">
        <f>IF(F51=" "," ",_xlfn.XLOOKUP($C51,'Power Blocks'!$C$20:$C$31,'Power Blocks'!$J$20:$J$31,,)*$G51)</f>
        <v>0.5</v>
      </c>
      <c r="I51" s="189">
        <f>IF(F51=" "," ",_xlfn.XLOOKUP($C51,'Power Blocks'!$C$20:$C$31,'Power Blocks'!$K$20:$K$31,,)/1000*$G51)</f>
        <v>5000</v>
      </c>
      <c r="J51" s="190">
        <v>0</v>
      </c>
      <c r="K51" s="75">
        <f t="shared" ref="K51:Z61" si="4">$H51</f>
        <v>0.5</v>
      </c>
      <c r="L51" s="75">
        <f t="shared" si="4"/>
        <v>0.5</v>
      </c>
      <c r="M51" s="75">
        <f t="shared" si="4"/>
        <v>0.5</v>
      </c>
      <c r="N51" s="75">
        <f t="shared" si="4"/>
        <v>0.5</v>
      </c>
      <c r="O51" s="75">
        <f t="shared" si="4"/>
        <v>0.5</v>
      </c>
      <c r="P51" s="75">
        <f t="shared" si="4"/>
        <v>0.5</v>
      </c>
      <c r="Q51" s="75">
        <f t="shared" si="4"/>
        <v>0.5</v>
      </c>
      <c r="R51" s="75">
        <f t="shared" si="4"/>
        <v>0.5</v>
      </c>
      <c r="S51" s="75">
        <f t="shared" si="4"/>
        <v>0.5</v>
      </c>
      <c r="T51" s="75">
        <f t="shared" si="4"/>
        <v>0.5</v>
      </c>
      <c r="U51" s="75">
        <f t="shared" si="4"/>
        <v>0.5</v>
      </c>
      <c r="V51" s="75">
        <f t="shared" si="4"/>
        <v>0.5</v>
      </c>
      <c r="W51" s="75">
        <f t="shared" si="4"/>
        <v>0.5</v>
      </c>
      <c r="X51" s="75"/>
      <c r="Y51" s="75"/>
      <c r="Z51" s="75"/>
      <c r="AA51" s="75"/>
      <c r="AB51" s="75"/>
      <c r="AC51" s="75"/>
      <c r="AD51" s="75"/>
      <c r="AE51" s="13"/>
      <c r="AF51" s="13" t="s">
        <v>69</v>
      </c>
      <c r="AG51" s="13"/>
      <c r="AH51" s="13"/>
      <c r="AI51" s="13"/>
      <c r="AJ51" s="13"/>
      <c r="AK51" s="13"/>
      <c r="AL51" s="13"/>
      <c r="AM51" s="13"/>
    </row>
    <row r="52" spans="3:48" ht="14.45" customHeight="1">
      <c r="C52" s="72" t="s">
        <v>46</v>
      </c>
      <c r="D52" s="73">
        <v>38</v>
      </c>
      <c r="E52" s="77" t="s">
        <v>70</v>
      </c>
      <c r="F52" s="186" t="str">
        <f>_xlfn.XLOOKUP($C52,'Power Blocks'!$C$20:$C$31,'Power Blocks'!$D$20:$D$31,,)</f>
        <v>CPU</v>
      </c>
      <c r="G52" s="187">
        <f>IF(F52=" "," ",D52/_xlfn.XLOOKUP($C52,'Power Blocks'!$C$20:$C$31,'Power Blocks'!$I$20:$I$31,,))</f>
        <v>0.38</v>
      </c>
      <c r="H52" s="188">
        <f>IF(F52=" "," ",_xlfn.XLOOKUP($C52,'Power Blocks'!$C$20:$C$31,'Power Blocks'!$J$20:$J$31,,)*$G52)</f>
        <v>3.8000000000000006E-2</v>
      </c>
      <c r="I52" s="189">
        <f>IF(F52=" "," ",_xlfn.XLOOKUP($C52,'Power Blocks'!$C$20:$C$31,'Power Blocks'!$K$20:$K$31,,)/1000*$G52)</f>
        <v>380</v>
      </c>
      <c r="J52" s="190">
        <f>IF(F52=" "," ",_xlfn.XLOOKUP($C52,'Power Blocks'!$C$20:$C$31,'Power Blocks'!$M$20:$M$31,,)*$G52)</f>
        <v>4864</v>
      </c>
      <c r="K52" s="52">
        <f t="shared" si="4"/>
        <v>3.8000000000000006E-2</v>
      </c>
      <c r="L52" s="52">
        <f t="shared" si="4"/>
        <v>3.8000000000000006E-2</v>
      </c>
      <c r="M52" s="52">
        <f t="shared" si="4"/>
        <v>3.8000000000000006E-2</v>
      </c>
      <c r="N52" s="52">
        <f t="shared" si="4"/>
        <v>3.8000000000000006E-2</v>
      </c>
      <c r="O52" s="52">
        <f t="shared" si="4"/>
        <v>3.8000000000000006E-2</v>
      </c>
      <c r="P52" s="52">
        <f t="shared" si="4"/>
        <v>3.8000000000000006E-2</v>
      </c>
      <c r="Q52" s="52">
        <f t="shared" si="4"/>
        <v>3.8000000000000006E-2</v>
      </c>
      <c r="R52" s="52">
        <f t="shared" si="4"/>
        <v>3.8000000000000006E-2</v>
      </c>
      <c r="S52" s="52">
        <f t="shared" si="4"/>
        <v>3.8000000000000006E-2</v>
      </c>
      <c r="T52" s="52">
        <f t="shared" si="4"/>
        <v>3.8000000000000006E-2</v>
      </c>
      <c r="U52" s="52">
        <f t="shared" si="4"/>
        <v>3.8000000000000006E-2</v>
      </c>
      <c r="V52" s="52">
        <f t="shared" si="4"/>
        <v>3.8000000000000006E-2</v>
      </c>
      <c r="W52" s="52">
        <f t="shared" si="4"/>
        <v>3.8000000000000006E-2</v>
      </c>
      <c r="X52" s="52">
        <f t="shared" si="4"/>
        <v>3.8000000000000006E-2</v>
      </c>
      <c r="Y52" s="52">
        <f t="shared" si="4"/>
        <v>3.8000000000000006E-2</v>
      </c>
      <c r="Z52" s="52">
        <f t="shared" si="4"/>
        <v>3.8000000000000006E-2</v>
      </c>
      <c r="AA52" s="52">
        <f t="shared" ref="V52:AD57" si="5">$H52</f>
        <v>3.8000000000000006E-2</v>
      </c>
      <c r="AB52" s="52">
        <f t="shared" si="5"/>
        <v>3.8000000000000006E-2</v>
      </c>
      <c r="AC52" s="52">
        <f t="shared" si="5"/>
        <v>3.8000000000000006E-2</v>
      </c>
      <c r="AD52" s="52">
        <f t="shared" si="5"/>
        <v>3.8000000000000006E-2</v>
      </c>
      <c r="AE52" s="13"/>
      <c r="AF52" s="13" t="s">
        <v>71</v>
      </c>
      <c r="AG52" s="13"/>
      <c r="AH52" s="13"/>
      <c r="AI52" s="13"/>
      <c r="AJ52" s="13"/>
      <c r="AK52" s="13"/>
      <c r="AL52" s="13"/>
      <c r="AM52" s="13"/>
    </row>
    <row r="53" spans="3:48" ht="14.45" customHeight="1">
      <c r="C53" s="72" t="s">
        <v>50</v>
      </c>
      <c r="D53" s="73">
        <v>28</v>
      </c>
      <c r="E53" s="77" t="s">
        <v>72</v>
      </c>
      <c r="F53" s="186" t="str">
        <f>_xlfn.XLOOKUP($C53,'Power Blocks'!$C$20:$C$31,'Power Blocks'!$D$20:$D$31,,)</f>
        <v>Hdisk</v>
      </c>
      <c r="G53" s="187">
        <f>IF(F53=" "," ",D53/_xlfn.XLOOKUP($C53,'Power Blocks'!$C$20:$C$31,'Power Blocks'!$I$20:$I$31,,))</f>
        <v>0.2</v>
      </c>
      <c r="H53" s="188">
        <v>0.06</v>
      </c>
      <c r="I53" s="189">
        <f>IF(F53=" "," ",_xlfn.XLOOKUP($C53,'Power Blocks'!$C$20:$C$31,'Power Blocks'!$K$20:$K$31,,)/1000*$G53)</f>
        <v>799.98800000000006</v>
      </c>
      <c r="J53" s="191">
        <f>IF(F53=" "," ",_xlfn.XLOOKUP($C53,'Power Blocks'!$C$20:$C$31,'Power Blocks'!$M$20:$M$31,,)*$G53)</f>
        <v>14.840000000000002</v>
      </c>
      <c r="K53" s="52">
        <f t="shared" si="4"/>
        <v>0.06</v>
      </c>
      <c r="L53" s="52">
        <f t="shared" si="4"/>
        <v>0.06</v>
      </c>
      <c r="M53" s="52">
        <f t="shared" si="4"/>
        <v>0.06</v>
      </c>
      <c r="N53" s="52">
        <f t="shared" si="4"/>
        <v>0.06</v>
      </c>
      <c r="O53" s="52">
        <f t="shared" si="4"/>
        <v>0.06</v>
      </c>
      <c r="P53" s="52">
        <f t="shared" si="4"/>
        <v>0.06</v>
      </c>
      <c r="Q53" s="52">
        <f t="shared" si="4"/>
        <v>0.06</v>
      </c>
      <c r="R53" s="52">
        <f t="shared" si="4"/>
        <v>0.06</v>
      </c>
      <c r="S53" s="52">
        <f t="shared" si="4"/>
        <v>0.06</v>
      </c>
      <c r="T53" s="52">
        <f t="shared" si="4"/>
        <v>0.06</v>
      </c>
      <c r="U53" s="52">
        <f t="shared" si="4"/>
        <v>0.06</v>
      </c>
      <c r="V53" s="52">
        <f t="shared" si="4"/>
        <v>0.06</v>
      </c>
      <c r="W53" s="52">
        <f t="shared" si="4"/>
        <v>0.06</v>
      </c>
      <c r="X53" s="52">
        <f t="shared" si="4"/>
        <v>0.06</v>
      </c>
      <c r="Y53" s="52">
        <f t="shared" si="4"/>
        <v>0.06</v>
      </c>
      <c r="Z53" s="52">
        <f t="shared" si="4"/>
        <v>0.06</v>
      </c>
      <c r="AA53" s="52">
        <f t="shared" si="5"/>
        <v>0.06</v>
      </c>
      <c r="AB53" s="52">
        <f t="shared" si="5"/>
        <v>0.06</v>
      </c>
      <c r="AC53" s="52">
        <f t="shared" si="5"/>
        <v>0.06</v>
      </c>
      <c r="AD53" s="52">
        <f t="shared" si="5"/>
        <v>0.06</v>
      </c>
      <c r="AE53" s="13"/>
      <c r="AF53" s="13"/>
      <c r="AG53" s="13"/>
      <c r="AH53" s="13"/>
      <c r="AI53" s="13"/>
      <c r="AJ53" s="13"/>
      <c r="AK53" s="13"/>
      <c r="AL53" s="13"/>
      <c r="AM53" s="13"/>
    </row>
    <row r="54" spans="3:48" ht="14.45" customHeight="1">
      <c r="C54" s="72" t="s">
        <v>46</v>
      </c>
      <c r="D54" s="73">
        <v>40</v>
      </c>
      <c r="E54" s="77" t="s">
        <v>54</v>
      </c>
      <c r="F54" s="56" t="str">
        <f>_xlfn.XLOOKUP($C54,'Power Blocks'!$C$20:$C$31,'Power Blocks'!$D$20:$D$31,,)</f>
        <v>CPU</v>
      </c>
      <c r="G54" s="57">
        <f>IF(F54=" "," ",D54/_xlfn.XLOOKUP($C54,'Power Blocks'!$C$20:$C$31,'Power Blocks'!$I$20:$I$31,,))</f>
        <v>0.4</v>
      </c>
      <c r="H54" s="58">
        <f>IF(F54=" "," ",_xlfn.XLOOKUP($C54,'Power Blocks'!$C$20:$C$31,'Power Blocks'!$J$20:$J$31,,)*$G54)</f>
        <v>4.0000000000000008E-2</v>
      </c>
      <c r="I54" s="59">
        <f>IF(F54=" "," ",_xlfn.XLOOKUP($C54,'Power Blocks'!$C$20:$C$31,'Power Blocks'!$K$20:$K$31,,)/1000*$G54)</f>
        <v>400</v>
      </c>
      <c r="J54" s="110">
        <f>IF(F54=" "," ",_xlfn.XLOOKUP($C54,'Power Blocks'!$C$20:$C$31,'Power Blocks'!$M$20:$M$31,,)*$G54)</f>
        <v>5120</v>
      </c>
      <c r="K54" s="52"/>
      <c r="L54" s="52"/>
      <c r="M54" s="52">
        <f t="shared" si="4"/>
        <v>4.0000000000000008E-2</v>
      </c>
      <c r="N54" s="52">
        <f t="shared" si="4"/>
        <v>4.0000000000000008E-2</v>
      </c>
      <c r="O54" s="52">
        <f t="shared" si="4"/>
        <v>4.0000000000000008E-2</v>
      </c>
      <c r="P54" s="52">
        <f t="shared" si="4"/>
        <v>4.0000000000000008E-2</v>
      </c>
      <c r="Q54" s="52">
        <f t="shared" si="4"/>
        <v>4.0000000000000008E-2</v>
      </c>
      <c r="R54" s="52">
        <f t="shared" si="4"/>
        <v>4.0000000000000008E-2</v>
      </c>
      <c r="S54" s="52">
        <f t="shared" si="4"/>
        <v>4.0000000000000008E-2</v>
      </c>
      <c r="T54" s="52">
        <f t="shared" si="4"/>
        <v>4.0000000000000008E-2</v>
      </c>
      <c r="U54" s="52">
        <f t="shared" si="4"/>
        <v>4.0000000000000008E-2</v>
      </c>
      <c r="V54" s="52">
        <f t="shared" si="4"/>
        <v>4.0000000000000008E-2</v>
      </c>
      <c r="W54" s="52">
        <f t="shared" si="4"/>
        <v>4.0000000000000008E-2</v>
      </c>
      <c r="X54" s="52">
        <f t="shared" si="4"/>
        <v>4.0000000000000008E-2</v>
      </c>
      <c r="Y54" s="52">
        <f t="shared" si="4"/>
        <v>4.0000000000000008E-2</v>
      </c>
      <c r="Z54" s="52">
        <f t="shared" si="4"/>
        <v>4.0000000000000008E-2</v>
      </c>
      <c r="AA54" s="52">
        <f t="shared" si="5"/>
        <v>4.0000000000000008E-2</v>
      </c>
      <c r="AB54" s="52">
        <f t="shared" si="5"/>
        <v>4.0000000000000008E-2</v>
      </c>
      <c r="AC54" s="52">
        <f t="shared" si="5"/>
        <v>4.0000000000000008E-2</v>
      </c>
      <c r="AD54" s="52">
        <f t="shared" si="5"/>
        <v>4.0000000000000008E-2</v>
      </c>
      <c r="AE54" s="13"/>
      <c r="AF54" s="13"/>
      <c r="AG54" s="13"/>
      <c r="AH54" s="13"/>
      <c r="AI54" s="13"/>
      <c r="AJ54" s="13"/>
      <c r="AK54" s="13"/>
      <c r="AL54" s="13"/>
      <c r="AM54" s="13"/>
    </row>
    <row r="55" spans="3:48" ht="14.45" customHeight="1">
      <c r="C55" s="72" t="s">
        <v>55</v>
      </c>
      <c r="D55" s="73">
        <v>16</v>
      </c>
      <c r="E55" s="77" t="s">
        <v>54</v>
      </c>
      <c r="F55" s="56" t="str">
        <f>_xlfn.XLOOKUP($C55,'Power Blocks'!$C$20:$C$31,'Power Blocks'!$D$20:$D$31,,)</f>
        <v>GPU</v>
      </c>
      <c r="G55" s="57">
        <f>IF(F55=" "," ",D55/_xlfn.XLOOKUP($C55,'Power Blocks'!$C$20:$C$31,'Power Blocks'!$I$20:$I$31,,))</f>
        <v>1</v>
      </c>
      <c r="H55" s="58">
        <f>IF(F55=" "," ",_xlfn.XLOOKUP($C55,'Power Blocks'!$C$20:$C$31,'Power Blocks'!$J$20:$J$31,,)*$G55)</f>
        <v>0.1</v>
      </c>
      <c r="I55" s="59">
        <f>IF(F55=" "," ",_xlfn.XLOOKUP($C55,'Power Blocks'!$C$20:$C$31,'Power Blocks'!$K$20:$K$31,,)/1000*$G55)</f>
        <v>1712</v>
      </c>
      <c r="J55" s="110">
        <f>IF(F55=" "," ",_xlfn.XLOOKUP($C55,'Power Blocks'!$C$20:$C$31,'Power Blocks'!$M$20:$M$31,,)*$G55)</f>
        <v>64</v>
      </c>
      <c r="K55" s="52"/>
      <c r="L55" s="52"/>
      <c r="M55" s="52">
        <f t="shared" si="4"/>
        <v>0.1</v>
      </c>
      <c r="N55" s="52">
        <f t="shared" si="4"/>
        <v>0.1</v>
      </c>
      <c r="O55" s="52">
        <f t="shared" si="4"/>
        <v>0.1</v>
      </c>
      <c r="P55" s="52">
        <f t="shared" si="4"/>
        <v>0.1</v>
      </c>
      <c r="Q55" s="52">
        <f t="shared" si="4"/>
        <v>0.1</v>
      </c>
      <c r="R55" s="52">
        <f t="shared" si="4"/>
        <v>0.1</v>
      </c>
      <c r="S55" s="52">
        <f t="shared" si="4"/>
        <v>0.1</v>
      </c>
      <c r="T55" s="52">
        <f t="shared" si="4"/>
        <v>0.1</v>
      </c>
      <c r="U55" s="52">
        <f t="shared" si="4"/>
        <v>0.1</v>
      </c>
      <c r="V55" s="52">
        <f t="shared" si="4"/>
        <v>0.1</v>
      </c>
      <c r="W55" s="52">
        <f t="shared" si="4"/>
        <v>0.1</v>
      </c>
      <c r="X55" s="52">
        <f t="shared" si="4"/>
        <v>0.1</v>
      </c>
      <c r="Y55" s="52">
        <f t="shared" si="4"/>
        <v>0.1</v>
      </c>
      <c r="Z55" s="52">
        <f t="shared" si="4"/>
        <v>0.1</v>
      </c>
      <c r="AA55" s="52">
        <f t="shared" si="5"/>
        <v>0.1</v>
      </c>
      <c r="AB55" s="52">
        <f t="shared" si="5"/>
        <v>0.1</v>
      </c>
      <c r="AC55" s="52">
        <f t="shared" si="5"/>
        <v>0.1</v>
      </c>
      <c r="AD55" s="52">
        <f t="shared" si="5"/>
        <v>0.1</v>
      </c>
      <c r="AE55" s="13"/>
      <c r="AF55" s="13"/>
      <c r="AG55" s="13"/>
      <c r="AH55" s="13"/>
      <c r="AI55" s="13"/>
      <c r="AJ55" s="13"/>
      <c r="AK55" s="13"/>
      <c r="AL55" s="13"/>
      <c r="AM55" s="13"/>
    </row>
    <row r="56" spans="3:48" ht="14.45" customHeight="1">
      <c r="C56" s="72" t="s">
        <v>50</v>
      </c>
      <c r="D56" s="73">
        <v>16</v>
      </c>
      <c r="E56" s="77" t="s">
        <v>54</v>
      </c>
      <c r="F56" s="56" t="str">
        <f>_xlfn.XLOOKUP($C56,'Power Blocks'!$C$20:$C$31,'Power Blocks'!$D$20:$D$31,,)</f>
        <v>Hdisk</v>
      </c>
      <c r="G56" s="57">
        <f>IF(F56=" "," ",D56/_xlfn.XLOOKUP($C56,'Power Blocks'!$C$20:$C$31,'Power Blocks'!$I$20:$I$31,,))</f>
        <v>0.11428571428571428</v>
      </c>
      <c r="H56" s="58">
        <f>IF(F56=" "," ",_xlfn.XLOOKUP($C56,'Power Blocks'!$C$20:$C$31,'Power Blocks'!$J$20:$J$31,,)*$G56)</f>
        <v>1.1428571428571429E-2</v>
      </c>
      <c r="I56" s="59">
        <f>IF(F56=" "," ",_xlfn.XLOOKUP($C56,'Power Blocks'!$C$20:$C$31,'Power Blocks'!$K$20:$K$31,,)/1000*$G56)</f>
        <v>457.13599999999997</v>
      </c>
      <c r="J56" s="67">
        <f>IF(F56=" "," ",_xlfn.XLOOKUP($C56,'Power Blocks'!$C$20:$C$31,'Power Blocks'!$M$20:$M$31,,)*$G56)</f>
        <v>8.48</v>
      </c>
      <c r="K56" s="52"/>
      <c r="L56" s="52"/>
      <c r="M56" s="52">
        <f t="shared" si="4"/>
        <v>1.1428571428571429E-2</v>
      </c>
      <c r="N56" s="52">
        <f t="shared" si="4"/>
        <v>1.1428571428571429E-2</v>
      </c>
      <c r="O56" s="52">
        <f t="shared" si="4"/>
        <v>1.1428571428571429E-2</v>
      </c>
      <c r="P56" s="52">
        <f t="shared" si="4"/>
        <v>1.1428571428571429E-2</v>
      </c>
      <c r="Q56" s="52">
        <f t="shared" si="4"/>
        <v>1.1428571428571429E-2</v>
      </c>
      <c r="R56" s="52">
        <f t="shared" si="4"/>
        <v>1.1428571428571429E-2</v>
      </c>
      <c r="S56" s="52">
        <f t="shared" si="4"/>
        <v>1.1428571428571429E-2</v>
      </c>
      <c r="T56" s="52">
        <f t="shared" si="4"/>
        <v>1.1428571428571429E-2</v>
      </c>
      <c r="U56" s="52">
        <f t="shared" si="4"/>
        <v>1.1428571428571429E-2</v>
      </c>
      <c r="V56" s="52">
        <f t="shared" si="5"/>
        <v>1.1428571428571429E-2</v>
      </c>
      <c r="W56" s="52">
        <f t="shared" si="5"/>
        <v>1.1428571428571429E-2</v>
      </c>
      <c r="X56" s="52">
        <f t="shared" si="5"/>
        <v>1.1428571428571429E-2</v>
      </c>
      <c r="Y56" s="52">
        <f t="shared" si="5"/>
        <v>1.1428571428571429E-2</v>
      </c>
      <c r="Z56" s="52">
        <f t="shared" si="5"/>
        <v>1.1428571428571429E-2</v>
      </c>
      <c r="AA56" s="52">
        <f t="shared" si="5"/>
        <v>1.1428571428571429E-2</v>
      </c>
      <c r="AB56" s="52">
        <f t="shared" si="5"/>
        <v>1.1428571428571429E-2</v>
      </c>
      <c r="AC56" s="52">
        <f t="shared" si="5"/>
        <v>1.1428571428571429E-2</v>
      </c>
      <c r="AD56" s="52">
        <f t="shared" si="5"/>
        <v>1.1428571428571429E-2</v>
      </c>
      <c r="AE56" s="13"/>
      <c r="AF56" s="13"/>
      <c r="AG56" s="13"/>
      <c r="AH56" s="13"/>
      <c r="AI56" s="13"/>
      <c r="AJ56" s="13"/>
      <c r="AK56" s="13"/>
      <c r="AL56" s="13"/>
      <c r="AM56" s="13"/>
    </row>
    <row r="57" spans="3:48" ht="14.45" customHeight="1">
      <c r="C57" s="72" t="s">
        <v>50</v>
      </c>
      <c r="D57" s="73">
        <v>120</v>
      </c>
      <c r="E57" s="77" t="s">
        <v>73</v>
      </c>
      <c r="F57" s="56" t="str">
        <f>_xlfn.XLOOKUP($C57,'Power Blocks'!$C$20:$C$31,'Power Blocks'!$D$20:$D$31,,)</f>
        <v>Hdisk</v>
      </c>
      <c r="G57" s="57">
        <f>IF(F57=" "," ",D57/_xlfn.XLOOKUP($C57,'Power Blocks'!$C$20:$C$31,'Power Blocks'!$I$20:$I$31,,))</f>
        <v>0.8571428571428571</v>
      </c>
      <c r="H57" s="58">
        <f>IF(F57=" "," ",_xlfn.XLOOKUP($C57,'Power Blocks'!$C$20:$C$31,'Power Blocks'!$J$20:$J$31,,)*$G57)</f>
        <v>8.5714285714285715E-2</v>
      </c>
      <c r="I57" s="59">
        <f>IF(F57=" "," ",_xlfn.XLOOKUP($C57,'Power Blocks'!$C$20:$C$31,'Power Blocks'!$K$20:$K$31,,)/1000*$G57)</f>
        <v>3428.52</v>
      </c>
      <c r="J57" s="110">
        <f>IF(F57=" "," ",_xlfn.XLOOKUP($C57,'Power Blocks'!$C$20:$C$31,'Power Blocks'!$M$20:$M$31,,)*$G57)</f>
        <v>63.6</v>
      </c>
      <c r="K57" s="52"/>
      <c r="L57" s="52"/>
      <c r="M57" s="52"/>
      <c r="N57" s="52"/>
      <c r="O57" s="52"/>
      <c r="P57" s="52"/>
      <c r="Q57" s="52"/>
      <c r="R57" s="52">
        <f t="shared" si="4"/>
        <v>8.5714285714285715E-2</v>
      </c>
      <c r="S57" s="52">
        <f t="shared" si="4"/>
        <v>8.5714285714285715E-2</v>
      </c>
      <c r="T57" s="52">
        <f t="shared" si="4"/>
        <v>8.5714285714285715E-2</v>
      </c>
      <c r="U57" s="52">
        <f t="shared" si="4"/>
        <v>8.5714285714285715E-2</v>
      </c>
      <c r="V57" s="52">
        <f t="shared" si="5"/>
        <v>8.5714285714285715E-2</v>
      </c>
      <c r="W57" s="52">
        <f t="shared" si="5"/>
        <v>8.5714285714285715E-2</v>
      </c>
      <c r="X57" s="52">
        <f t="shared" si="5"/>
        <v>8.5714285714285715E-2</v>
      </c>
      <c r="Y57" s="52">
        <f t="shared" si="5"/>
        <v>8.5714285714285715E-2</v>
      </c>
      <c r="Z57" s="52">
        <f t="shared" si="5"/>
        <v>8.5714285714285715E-2</v>
      </c>
      <c r="AA57" s="52">
        <f t="shared" si="5"/>
        <v>8.5714285714285715E-2</v>
      </c>
      <c r="AB57" s="52">
        <f t="shared" si="5"/>
        <v>8.5714285714285715E-2</v>
      </c>
      <c r="AC57" s="52">
        <f t="shared" si="5"/>
        <v>8.5714285714285715E-2</v>
      </c>
      <c r="AD57" s="52">
        <f t="shared" si="5"/>
        <v>8.5714285714285715E-2</v>
      </c>
      <c r="AE57" s="13"/>
      <c r="AF57" s="13"/>
      <c r="AG57" s="13"/>
      <c r="AH57" s="13"/>
      <c r="AI57" s="13"/>
      <c r="AJ57" s="13"/>
      <c r="AK57" s="13"/>
      <c r="AL57" s="13"/>
      <c r="AM57" s="13"/>
    </row>
    <row r="58" spans="3:48" ht="14.45" customHeight="1">
      <c r="C58" s="72" t="s">
        <v>58</v>
      </c>
      <c r="D58" s="73"/>
      <c r="E58" s="73" t="s">
        <v>59</v>
      </c>
      <c r="F58" s="56" t="str">
        <f>_xlfn.XLOOKUP($C58,'Power Blocks'!$C$20:$C$31,'Power Blocks'!$D$20:$D$31,,)</f>
        <v xml:space="preserve"> </v>
      </c>
      <c r="G58" s="57" t="str">
        <f>IF(F58=" "," ",D58/_xlfn.XLOOKUP($C58,'Power Blocks'!$C$20:$C$31,'Power Blocks'!$I$20:$I$31,,))</f>
        <v xml:space="preserve"> </v>
      </c>
      <c r="H58" s="58" t="str">
        <f>IF(F58=" "," ",_xlfn.XLOOKUP($C58,'Power Blocks'!$C$20:$C$31,'Power Blocks'!$J$20:$J$31,,)*$G58)</f>
        <v xml:space="preserve"> </v>
      </c>
      <c r="I58" s="59" t="str">
        <f>IF(F58=" "," ",_xlfn.XLOOKUP($C58,'Power Blocks'!$C$20:$C$31,'Power Blocks'!$K$20:$K$31,,)/1000*$G58)</f>
        <v xml:space="preserve"> </v>
      </c>
      <c r="J58" s="67" t="str">
        <f>IF(F58=" "," ",_xlfn.XLOOKUP($C58,'Power Blocks'!$C$20:$C$31,'Power Blocks'!$M$20:$M$31,,)*$G58)</f>
        <v xml:space="preserve"> </v>
      </c>
      <c r="K58" s="10"/>
      <c r="L58" s="10"/>
      <c r="M58" s="10"/>
      <c r="N58" s="52" t="str">
        <f t="shared" si="4"/>
        <v xml:space="preserve"> </v>
      </c>
      <c r="O58" s="52" t="str">
        <f t="shared" si="4"/>
        <v xml:space="preserve"> </v>
      </c>
      <c r="P58" s="52" t="str">
        <f t="shared" si="4"/>
        <v xml:space="preserve"> </v>
      </c>
      <c r="Q58" s="52" t="str">
        <f t="shared" si="4"/>
        <v xml:space="preserve"> </v>
      </c>
      <c r="R58" s="52" t="str">
        <f t="shared" si="4"/>
        <v xml:space="preserve"> </v>
      </c>
      <c r="S58" s="52" t="str">
        <f t="shared" si="4"/>
        <v xml:space="preserve"> </v>
      </c>
      <c r="T58" s="52" t="str">
        <f t="shared" si="4"/>
        <v xml:space="preserve"> </v>
      </c>
      <c r="U58" s="52" t="str">
        <f t="shared" si="4"/>
        <v xml:space="preserve"> </v>
      </c>
      <c r="V58" s="52" t="str">
        <f t="shared" si="4"/>
        <v xml:space="preserve"> </v>
      </c>
      <c r="W58" s="52" t="str">
        <f t="shared" si="4"/>
        <v xml:space="preserve"> </v>
      </c>
      <c r="X58" s="52" t="str">
        <f t="shared" si="4"/>
        <v xml:space="preserve"> </v>
      </c>
      <c r="Y58" s="52" t="str">
        <f t="shared" si="4"/>
        <v xml:space="preserve"> </v>
      </c>
      <c r="Z58" s="52" t="str">
        <f t="shared" si="4"/>
        <v xml:space="preserve"> </v>
      </c>
      <c r="AA58" s="52" t="str">
        <f t="shared" ref="AA58:AB58" si="6">$H58</f>
        <v xml:space="preserve"> </v>
      </c>
      <c r="AB58" s="52" t="str">
        <f t="shared" si="6"/>
        <v xml:space="preserve"> </v>
      </c>
      <c r="AC58" s="10"/>
      <c r="AD58" s="10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3:48" ht="14.45" customHeight="1">
      <c r="C59" s="72" t="s">
        <v>58</v>
      </c>
      <c r="D59" s="73"/>
      <c r="E59" s="73" t="s">
        <v>59</v>
      </c>
      <c r="F59" s="56" t="str">
        <f>_xlfn.XLOOKUP($C59,'Power Blocks'!$C$20:$C$31,'Power Blocks'!$D$20:$D$31,,)</f>
        <v xml:space="preserve"> </v>
      </c>
      <c r="G59" s="57" t="str">
        <f>IF(F59=" "," ",D59/_xlfn.XLOOKUP($C59,'Power Blocks'!$C$20:$C$31,'Power Blocks'!$I$20:$I$31,,))</f>
        <v xml:space="preserve"> </v>
      </c>
      <c r="H59" s="58" t="str">
        <f>IF(F59=" "," ",_xlfn.XLOOKUP($C59,'Power Blocks'!$C$20:$C$31,'Power Blocks'!$J$20:$J$31,,)*$G59)</f>
        <v xml:space="preserve"> </v>
      </c>
      <c r="I59" s="59" t="str">
        <f>IF(F59=" "," ",_xlfn.XLOOKUP($C59,'Power Blocks'!$C$20:$C$31,'Power Blocks'!$K$20:$K$31,,)/1000*$G59)</f>
        <v xml:space="preserve"> </v>
      </c>
      <c r="J59" s="67" t="str">
        <f>IF(F59=" "," ",_xlfn.XLOOKUP($C59,'Power Blocks'!$C$20:$C$31,'Power Blocks'!$M$20:$M$31,,)*$G59)</f>
        <v xml:space="preserve"> </v>
      </c>
      <c r="K59" s="3"/>
      <c r="L59" s="3"/>
      <c r="M59" s="3"/>
      <c r="N59" s="52" t="str">
        <f t="shared" si="4"/>
        <v xml:space="preserve"> </v>
      </c>
      <c r="O59" s="52" t="str">
        <f t="shared" si="4"/>
        <v xml:space="preserve"> </v>
      </c>
      <c r="P59" s="52" t="str">
        <f t="shared" si="4"/>
        <v xml:space="preserve"> </v>
      </c>
      <c r="Q59" s="52" t="str">
        <f t="shared" si="4"/>
        <v xml:space="preserve"> </v>
      </c>
      <c r="R59" s="52" t="str">
        <f t="shared" si="4"/>
        <v xml:space="preserve"> </v>
      </c>
      <c r="S59" s="52" t="str">
        <f t="shared" si="4"/>
        <v xml:space="preserve"> </v>
      </c>
      <c r="T59" s="52" t="str">
        <f t="shared" si="4"/>
        <v xml:space="preserve"> </v>
      </c>
      <c r="U59" s="52" t="str">
        <f t="shared" si="4"/>
        <v xml:space="preserve"> </v>
      </c>
      <c r="V59" s="52" t="str">
        <f t="shared" si="4"/>
        <v xml:space="preserve"> </v>
      </c>
      <c r="W59" s="52" t="str">
        <f t="shared" si="4"/>
        <v xml:space="preserve"> </v>
      </c>
      <c r="X59" s="52" t="str">
        <f t="shared" si="4"/>
        <v xml:space="preserve"> </v>
      </c>
      <c r="Y59" s="3"/>
      <c r="Z59" s="3"/>
      <c r="AA59" s="3"/>
      <c r="AB59" s="3"/>
      <c r="AC59" s="3"/>
      <c r="AD59" s="3"/>
    </row>
    <row r="60" spans="3:48" ht="14.45" customHeight="1">
      <c r="C60" s="72" t="s">
        <v>58</v>
      </c>
      <c r="D60" s="73"/>
      <c r="E60" s="73" t="s">
        <v>59</v>
      </c>
      <c r="F60" s="56" t="str">
        <f>_xlfn.XLOOKUP($C60,'Power Blocks'!$C$20:$C$31,'Power Blocks'!$D$20:$D$31,,)</f>
        <v xml:space="preserve"> </v>
      </c>
      <c r="G60" s="57" t="str">
        <f>IF(F60=" "," ",D60/_xlfn.XLOOKUP($C60,'Power Blocks'!$C$20:$C$31,'Power Blocks'!$I$20:$I$31,,))</f>
        <v xml:space="preserve"> </v>
      </c>
      <c r="H60" s="58" t="str">
        <f>IF(F60=" "," ",_xlfn.XLOOKUP($C60,'Power Blocks'!$C$20:$C$31,'Power Blocks'!$J$20:$J$31,,)*$G60)</f>
        <v xml:space="preserve"> </v>
      </c>
      <c r="I60" s="59" t="str">
        <f>IF(F60=" "," ",_xlfn.XLOOKUP($C60,'Power Blocks'!$C$20:$C$31,'Power Blocks'!$K$20:$K$31,,)/1000*$G60)</f>
        <v xml:space="preserve"> </v>
      </c>
      <c r="J60" s="67" t="str">
        <f>IF(F60=" "," ",_xlfn.XLOOKUP($C60,'Power Blocks'!$C$20:$C$31,'Power Blocks'!$M$20:$M$31,,)*$G60)</f>
        <v xml:space="preserve"> </v>
      </c>
      <c r="K60" s="3"/>
      <c r="L60" s="3"/>
      <c r="M60" s="3"/>
      <c r="N60" s="52" t="str">
        <f t="shared" si="4"/>
        <v xml:space="preserve"> </v>
      </c>
      <c r="O60" s="52" t="str">
        <f t="shared" si="4"/>
        <v xml:space="preserve"> </v>
      </c>
      <c r="P60" s="52" t="str">
        <f t="shared" si="4"/>
        <v xml:space="preserve"> </v>
      </c>
      <c r="Q60" s="52" t="str">
        <f t="shared" si="4"/>
        <v xml:space="preserve"> </v>
      </c>
      <c r="R60" s="52" t="str">
        <f t="shared" si="4"/>
        <v xml:space="preserve"> </v>
      </c>
      <c r="S60" s="52" t="str">
        <f t="shared" si="4"/>
        <v xml:space="preserve"> </v>
      </c>
      <c r="T60" s="52" t="str">
        <f t="shared" si="4"/>
        <v xml:space="preserve"> </v>
      </c>
      <c r="U60" s="52" t="str">
        <f t="shared" si="4"/>
        <v xml:space="preserve"> </v>
      </c>
      <c r="V60" s="52" t="str">
        <f t="shared" si="4"/>
        <v xml:space="preserve"> </v>
      </c>
      <c r="W60" s="52" t="str">
        <f t="shared" si="4"/>
        <v xml:space="preserve"> </v>
      </c>
      <c r="X60" s="52" t="str">
        <f t="shared" si="4"/>
        <v xml:space="preserve"> </v>
      </c>
      <c r="Y60" s="3"/>
      <c r="Z60" s="3"/>
      <c r="AA60" s="3"/>
      <c r="AB60" s="3"/>
      <c r="AC60" s="3"/>
      <c r="AD60" s="3"/>
    </row>
    <row r="61" spans="3:48">
      <c r="C61" s="72" t="s">
        <v>58</v>
      </c>
      <c r="D61" s="73"/>
      <c r="E61" s="73" t="s">
        <v>59</v>
      </c>
      <c r="F61" s="56" t="str">
        <f>_xlfn.XLOOKUP($C61,'Power Blocks'!$C$20:$C$31,'Power Blocks'!$D$20:$D$31,,)</f>
        <v xml:space="preserve"> </v>
      </c>
      <c r="G61" s="57" t="str">
        <f>IF(F61=" "," ",D61/_xlfn.XLOOKUP($C61,'Power Blocks'!$C$20:$C$31,'Power Blocks'!$I$20:$I$31,,))</f>
        <v xml:space="preserve"> </v>
      </c>
      <c r="H61" s="58" t="str">
        <f>IF(F61=" "," ",_xlfn.XLOOKUP($C61,'Power Blocks'!$C$20:$C$31,'Power Blocks'!$J$20:$J$31,,)*$G61)</f>
        <v xml:space="preserve"> </v>
      </c>
      <c r="I61" s="59" t="str">
        <f>IF(F61=" "," ",_xlfn.XLOOKUP($C61,'Power Blocks'!$C$20:$C$31,'Power Blocks'!$K$20:$K$31,,)/1000*$G61)</f>
        <v xml:space="preserve"> </v>
      </c>
      <c r="J61" s="67" t="str">
        <f>IF(F61=" "," ",_xlfn.XLOOKUP($C61,'Power Blocks'!$C$20:$C$31,'Power Blocks'!$M$20:$M$31,,)*$G61)</f>
        <v xml:space="preserve"> </v>
      </c>
      <c r="K61" s="3"/>
      <c r="L61" s="3"/>
      <c r="M61" s="3"/>
      <c r="N61" s="3"/>
      <c r="O61" s="3"/>
      <c r="P61" s="3"/>
      <c r="Q61" s="52" t="str">
        <f t="shared" si="4"/>
        <v xml:space="preserve"> </v>
      </c>
      <c r="R61" s="52" t="str">
        <f t="shared" si="4"/>
        <v xml:space="preserve"> </v>
      </c>
      <c r="S61" s="52" t="str">
        <f t="shared" si="4"/>
        <v xml:space="preserve"> </v>
      </c>
      <c r="T61" s="52" t="str">
        <f t="shared" si="4"/>
        <v xml:space="preserve"> </v>
      </c>
      <c r="U61" s="52" t="str">
        <f t="shared" si="4"/>
        <v xml:space="preserve"> </v>
      </c>
      <c r="V61" s="52" t="str">
        <f t="shared" si="4"/>
        <v xml:space="preserve"> </v>
      </c>
      <c r="W61" s="52" t="str">
        <f t="shared" si="4"/>
        <v xml:space="preserve"> </v>
      </c>
      <c r="X61" s="52" t="str">
        <f t="shared" si="4"/>
        <v xml:space="preserve"> </v>
      </c>
      <c r="Y61" s="52" t="str">
        <f t="shared" si="4"/>
        <v xml:space="preserve"> </v>
      </c>
      <c r="Z61" s="52" t="str">
        <f t="shared" si="4"/>
        <v xml:space="preserve"> </v>
      </c>
      <c r="AA61" s="3"/>
      <c r="AB61" s="3"/>
      <c r="AC61" s="3"/>
      <c r="AD61" s="3"/>
    </row>
    <row r="62" spans="3:48">
      <c r="C62" s="72" t="s">
        <v>58</v>
      </c>
      <c r="D62" s="73"/>
      <c r="E62" s="73" t="s">
        <v>59</v>
      </c>
      <c r="F62" s="56" t="str">
        <f>_xlfn.XLOOKUP($C62,'Power Blocks'!$C$20:$C$31,'Power Blocks'!$D$20:$D$31,,)</f>
        <v xml:space="preserve"> </v>
      </c>
      <c r="G62" s="57" t="str">
        <f>IF(F62=" "," ",D62/_xlfn.XLOOKUP($C62,'Power Blocks'!$C$20:$C$31,'Power Blocks'!$I$20:$I$31,,))</f>
        <v xml:space="preserve"> </v>
      </c>
      <c r="H62" s="58" t="str">
        <f>IF(F62=" "," ",_xlfn.XLOOKUP($C62,'Power Blocks'!$C$20:$C$31,'Power Blocks'!$J$20:$J$31,,)*$G62)</f>
        <v xml:space="preserve"> </v>
      </c>
      <c r="I62" s="59" t="str">
        <f>IF(F62=" "," ",_xlfn.XLOOKUP($C62,'Power Blocks'!$C$20:$C$31,'Power Blocks'!$K$20:$K$31,,)/1000*$G62)</f>
        <v xml:space="preserve"> </v>
      </c>
      <c r="J62" s="67" t="str">
        <f>IF(F62=" "," ",_xlfn.XLOOKUP($C62,'Power Blocks'!$C$20:$C$31,'Power Blocks'!$M$20:$M$31,,)*$G62)</f>
        <v xml:space="preserve"> 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3:48">
      <c r="C63" s="72" t="s">
        <v>58</v>
      </c>
      <c r="D63" s="73"/>
      <c r="E63" s="73" t="s">
        <v>59</v>
      </c>
      <c r="F63" s="56" t="str">
        <f>_xlfn.XLOOKUP($C63,'Power Blocks'!$C$20:$C$31,'Power Blocks'!$D$20:$D$31,,)</f>
        <v xml:space="preserve"> </v>
      </c>
      <c r="G63" s="57" t="str">
        <f>IF(F63=" "," ",D63/_xlfn.XLOOKUP($C63,'Power Blocks'!$C$20:$C$31,'Power Blocks'!$I$20:$I$31,,))</f>
        <v xml:space="preserve"> </v>
      </c>
      <c r="H63" s="58" t="str">
        <f>IF(F63=" "," ",_xlfn.XLOOKUP($C63,'Power Blocks'!$C$20:$C$31,'Power Blocks'!$J$20:$J$31,,)*$G63)</f>
        <v xml:space="preserve"> </v>
      </c>
      <c r="I63" s="59" t="str">
        <f>IF(F63=" "," ",_xlfn.XLOOKUP($C63,'Power Blocks'!$C$20:$C$31,'Power Blocks'!$K$20:$K$31,,)/1000*$G63)</f>
        <v xml:space="preserve"> </v>
      </c>
      <c r="J63" s="67" t="str">
        <f>IF(F63=" "," ",_xlfn.XLOOKUP($C63,'Power Blocks'!$C$20:$C$31,'Power Blocks'!$M$20:$M$31,,)*$G63)</f>
        <v xml:space="preserve"> 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3:48">
      <c r="C64" s="72" t="s">
        <v>58</v>
      </c>
      <c r="D64" s="73" t="s">
        <v>59</v>
      </c>
      <c r="E64" s="73" t="s">
        <v>59</v>
      </c>
      <c r="F64" s="56" t="str">
        <f>_xlfn.XLOOKUP($C64,'Power Blocks'!$C$20:$C$31,'Power Blocks'!$D$20:$D$31,,)</f>
        <v xml:space="preserve"> </v>
      </c>
      <c r="G64" s="57" t="str">
        <f>IF(F64=" "," ",D64/_xlfn.XLOOKUP($C64,'Power Blocks'!$C$20:$C$31,'Power Blocks'!$I$20:$I$31,,))</f>
        <v xml:space="preserve"> </v>
      </c>
      <c r="H64" s="58" t="str">
        <f>IF(F64=" "," ",_xlfn.XLOOKUP($C64,'Power Blocks'!$C$20:$C$31,'Power Blocks'!$J$20:$J$31,,)*$G64)</f>
        <v xml:space="preserve"> </v>
      </c>
      <c r="I64" s="59" t="str">
        <f>IF(F64=" "," ",_xlfn.XLOOKUP($C64,'Power Blocks'!$C$20:$C$31,'Power Blocks'!$K$20:$K$31,,)/1000*$G64)</f>
        <v xml:space="preserve"> </v>
      </c>
      <c r="J64" s="67" t="str">
        <f>IF(F64=" "," ",_xlfn.XLOOKUP($C64,'Power Blocks'!$C$20:$C$31,'Power Blocks'!$M$20:$M$31,,)*$G64)</f>
        <v xml:space="preserve"> 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3:30">
      <c r="C65" s="72" t="s">
        <v>58</v>
      </c>
      <c r="D65" s="73" t="s">
        <v>59</v>
      </c>
      <c r="E65" s="73" t="s">
        <v>59</v>
      </c>
      <c r="F65" s="56" t="str">
        <f>_xlfn.XLOOKUP($C65,'Power Blocks'!$C$20:$C$31,'Power Blocks'!$D$20:$D$31,,)</f>
        <v xml:space="preserve"> </v>
      </c>
      <c r="G65" s="57" t="str">
        <f>IF(F65=" "," ",D65/_xlfn.XLOOKUP($C65,'Power Blocks'!$C$20:$C$31,'Power Blocks'!$I$20:$I$31,,))</f>
        <v xml:space="preserve"> </v>
      </c>
      <c r="H65" s="58" t="str">
        <f>IF(F65=" "," ",_xlfn.XLOOKUP($C65,'Power Blocks'!$C$20:$C$31,'Power Blocks'!$J$20:$J$31,,)*$G65)</f>
        <v xml:space="preserve"> </v>
      </c>
      <c r="I65" s="59" t="str">
        <f>IF(F65=" "," ",_xlfn.XLOOKUP($C65,'Power Blocks'!$C$20:$C$31,'Power Blocks'!$K$20:$K$31,,)/1000*$G65)</f>
        <v xml:space="preserve"> </v>
      </c>
      <c r="J65" s="67" t="str">
        <f>IF(F65=" "," ",_xlfn.XLOOKUP($C65,'Power Blocks'!$C$20:$C$31,'Power Blocks'!$M$20:$M$31,,)*$G65)</f>
        <v xml:space="preserve"> 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3:30">
      <c r="C66" s="72" t="s">
        <v>58</v>
      </c>
      <c r="D66" s="73" t="s">
        <v>59</v>
      </c>
      <c r="E66" s="73" t="s">
        <v>59</v>
      </c>
      <c r="F66" s="56" t="str">
        <f>_xlfn.XLOOKUP($C66,'Power Blocks'!$C$20:$C$31,'Power Blocks'!$D$20:$D$31,,)</f>
        <v xml:space="preserve"> </v>
      </c>
      <c r="G66" s="57" t="str">
        <f>IF(F66=" "," ",D66/_xlfn.XLOOKUP($C66,'Power Blocks'!$C$20:$C$31,'Power Blocks'!$I$20:$I$31,,))</f>
        <v xml:space="preserve"> </v>
      </c>
      <c r="H66" s="58" t="str">
        <f>IF(F66=" "," ",_xlfn.XLOOKUP($C66,'Power Blocks'!$C$20:$C$31,'Power Blocks'!$J$20:$J$31,,)*$G66)</f>
        <v xml:space="preserve"> </v>
      </c>
      <c r="I66" s="59" t="str">
        <f>IF(F66=" "," ",_xlfn.XLOOKUP($C66,'Power Blocks'!$C$20:$C$31,'Power Blocks'!$K$20:$K$31,,)/1000*$G66)</f>
        <v xml:space="preserve"> </v>
      </c>
      <c r="J66" s="67" t="str">
        <f>IF(F66=" "," ",_xlfn.XLOOKUP($C66,'Power Blocks'!$C$20:$C$31,'Power Blocks'!$M$20:$M$31,,)*$G66)</f>
        <v xml:space="preserve"> 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3:30">
      <c r="C67" s="72" t="s">
        <v>58</v>
      </c>
      <c r="D67" s="73" t="s">
        <v>59</v>
      </c>
      <c r="E67" s="73" t="s">
        <v>59</v>
      </c>
      <c r="F67" s="56" t="str">
        <f>_xlfn.XLOOKUP($C67,'Power Blocks'!$C$20:$C$31,'Power Blocks'!$D$20:$D$31,,)</f>
        <v xml:space="preserve"> </v>
      </c>
      <c r="G67" s="57" t="str">
        <f>IF(F67=" "," ",D67/_xlfn.XLOOKUP($C67,'Power Blocks'!$C$20:$C$31,'Power Blocks'!$I$20:$I$31,,))</f>
        <v xml:space="preserve"> </v>
      </c>
      <c r="H67" s="58" t="str">
        <f>IF(F67=" "," ",_xlfn.XLOOKUP($C67,'Power Blocks'!$C$20:$C$31,'Power Blocks'!$J$20:$J$31,,)*$G67)</f>
        <v xml:space="preserve"> </v>
      </c>
      <c r="I67" s="59" t="str">
        <f>IF(F67=" "," ",_xlfn.XLOOKUP($C67,'Power Blocks'!$C$20:$C$31,'Power Blocks'!$K$20:$K$31,,)/1000*$G67)</f>
        <v xml:space="preserve"> </v>
      </c>
      <c r="J67" s="67" t="str">
        <f>IF(F67=" "," ",_xlfn.XLOOKUP($C67,'Power Blocks'!$C$20:$C$31,'Power Blocks'!$M$20:$M$31,,)*$G67)</f>
        <v xml:space="preserve"> 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3:30">
      <c r="C68" s="72" t="s">
        <v>58</v>
      </c>
      <c r="D68" s="73" t="s">
        <v>59</v>
      </c>
      <c r="E68" s="73" t="s">
        <v>59</v>
      </c>
      <c r="F68" s="56" t="str">
        <f>_xlfn.XLOOKUP($C68,'Power Blocks'!$C$20:$C$31,'Power Blocks'!$D$20:$D$31,,)</f>
        <v xml:space="preserve"> </v>
      </c>
      <c r="G68" s="57" t="str">
        <f>IF(F68=" "," ",D68/_xlfn.XLOOKUP($C68,'Power Blocks'!$C$20:$C$31,'Power Blocks'!$I$20:$I$31,,))</f>
        <v xml:space="preserve"> </v>
      </c>
      <c r="H68" s="58" t="str">
        <f>IF(F68=" "," ",_xlfn.XLOOKUP($C68,'Power Blocks'!$C$20:$C$31,'Power Blocks'!$J$20:$J$31,,)*$G68)</f>
        <v xml:space="preserve"> </v>
      </c>
      <c r="I68" s="59" t="str">
        <f>IF(F68=" "," ",_xlfn.XLOOKUP($C68,'Power Blocks'!$C$20:$C$31,'Power Blocks'!$K$20:$K$31,,)/1000*$G68)</f>
        <v xml:space="preserve"> </v>
      </c>
      <c r="J68" s="67" t="str">
        <f>IF(F68=" "," ",_xlfn.XLOOKUP($C68,'Power Blocks'!$C$20:$C$31,'Power Blocks'!$M$20:$M$31,,)*$G68)</f>
        <v xml:space="preserve"> 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3:30">
      <c r="C69" s="72" t="s">
        <v>58</v>
      </c>
      <c r="D69" s="73" t="s">
        <v>59</v>
      </c>
      <c r="E69" s="73" t="s">
        <v>59</v>
      </c>
      <c r="F69" s="56" t="str">
        <f>_xlfn.XLOOKUP($C69,'Power Blocks'!$C$20:$C$31,'Power Blocks'!$D$20:$D$31,,)</f>
        <v xml:space="preserve"> </v>
      </c>
      <c r="G69" s="57" t="str">
        <f>IF(F69=" "," ",D69/_xlfn.XLOOKUP($C69,'Power Blocks'!$C$20:$C$31,'Power Blocks'!$I$20:$I$31,,))</f>
        <v xml:space="preserve"> </v>
      </c>
      <c r="H69" s="58" t="str">
        <f>IF(F69=" "," ",_xlfn.XLOOKUP($C69,'Power Blocks'!$C$20:$C$31,'Power Blocks'!$J$20:$J$31,,)*$G69)</f>
        <v xml:space="preserve"> </v>
      </c>
      <c r="I69" s="59" t="str">
        <f>IF(F69=" "," ",_xlfn.XLOOKUP($C69,'Power Blocks'!$C$20:$C$31,'Power Blocks'!$K$20:$K$31,,)/1000*$G69)</f>
        <v xml:space="preserve"> </v>
      </c>
      <c r="J69" s="67" t="str">
        <f>IF(F69=" "," ",_xlfn.XLOOKUP($C69,'Power Blocks'!$C$20:$C$31,'Power Blocks'!$M$20:$M$31,,)*$G69)</f>
        <v xml:space="preserve"> 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3:30">
      <c r="C70" s="72" t="s">
        <v>58</v>
      </c>
      <c r="D70" s="73" t="s">
        <v>59</v>
      </c>
      <c r="E70" s="73" t="s">
        <v>59</v>
      </c>
      <c r="F70" s="56" t="str">
        <f>_xlfn.XLOOKUP($C70,'Power Blocks'!$C$20:$C$31,'Power Blocks'!$D$20:$D$31,,)</f>
        <v xml:space="preserve"> </v>
      </c>
      <c r="G70" s="57" t="str">
        <f>IF(F70=" "," ",D70/_xlfn.XLOOKUP($C70,'Power Blocks'!$C$20:$C$31,'Power Blocks'!$I$20:$I$31,,))</f>
        <v xml:space="preserve"> </v>
      </c>
      <c r="H70" s="58" t="str">
        <f>IF(F70=" "," ",_xlfn.XLOOKUP($C70,'Power Blocks'!$C$20:$C$31,'Power Blocks'!$J$20:$J$31,,)*$G70)</f>
        <v xml:space="preserve"> </v>
      </c>
      <c r="I70" s="59" t="str">
        <f>IF(F70=" "," ",_xlfn.XLOOKUP($C70,'Power Blocks'!$C$20:$C$31,'Power Blocks'!$K$20:$K$31,,)/1000*$G70)</f>
        <v xml:space="preserve"> </v>
      </c>
      <c r="J70" s="67" t="str">
        <f>IF(F70=" "," ",_xlfn.XLOOKUP($C70,'Power Blocks'!$C$20:$C$31,'Power Blocks'!$M$20:$M$31,,)*$G70)</f>
        <v xml:space="preserve"> 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3:30">
      <c r="C71" s="72" t="s">
        <v>58</v>
      </c>
      <c r="D71" s="73" t="s">
        <v>59</v>
      </c>
      <c r="E71" s="73" t="s">
        <v>59</v>
      </c>
      <c r="F71" s="56" t="str">
        <f>_xlfn.XLOOKUP($C71,'Power Blocks'!$C$20:$C$31,'Power Blocks'!$D$20:$D$31,,)</f>
        <v xml:space="preserve"> </v>
      </c>
      <c r="G71" s="57" t="str">
        <f>IF(F71=" "," ",D71/_xlfn.XLOOKUP($C71,'Power Blocks'!$C$20:$C$31,'Power Blocks'!$I$20:$I$31,,))</f>
        <v xml:space="preserve"> </v>
      </c>
      <c r="H71" s="58" t="str">
        <f>IF(F71=" "," ",_xlfn.XLOOKUP($C71,'Power Blocks'!$C$20:$C$31,'Power Blocks'!$J$20:$J$31,,)*$G71)</f>
        <v xml:space="preserve"> </v>
      </c>
      <c r="I71" s="59" t="str">
        <f>IF(F71=" "," ",_xlfn.XLOOKUP($C71,'Power Blocks'!$C$20:$C$31,'Power Blocks'!$K$20:$K$31,,)/1000*$G71)</f>
        <v xml:space="preserve"> </v>
      </c>
      <c r="J71" s="67" t="str">
        <f>IF(F71=" "," ",_xlfn.XLOOKUP($C71,'Power Blocks'!$C$20:$C$31,'Power Blocks'!$M$20:$M$31,,)*$G71)</f>
        <v xml:space="preserve"> 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3:30">
      <c r="C72" s="72" t="s">
        <v>58</v>
      </c>
      <c r="D72" s="73" t="s">
        <v>59</v>
      </c>
      <c r="E72" s="73" t="s">
        <v>59</v>
      </c>
      <c r="F72" s="56" t="str">
        <f>_xlfn.XLOOKUP($C72,'Power Blocks'!$C$20:$C$31,'Power Blocks'!$D$20:$D$31,,)</f>
        <v xml:space="preserve"> </v>
      </c>
      <c r="G72" s="57" t="str">
        <f>IF(F72=" "," ",D72/_xlfn.XLOOKUP($C72,'Power Blocks'!$C$20:$C$31,'Power Blocks'!$I$20:$I$31,,))</f>
        <v xml:space="preserve"> </v>
      </c>
      <c r="H72" s="58" t="str">
        <f>IF(F72=" "," ",_xlfn.XLOOKUP($C72,'Power Blocks'!$C$20:$C$31,'Power Blocks'!$J$20:$J$31,,)*$G72)</f>
        <v xml:space="preserve"> </v>
      </c>
      <c r="I72" s="59" t="str">
        <f>IF(F72=" "," ",_xlfn.XLOOKUP($C72,'Power Blocks'!$C$20:$C$31,'Power Blocks'!$K$20:$K$31,,)/1000*$G72)</f>
        <v xml:space="preserve"> </v>
      </c>
      <c r="J72" s="67" t="str">
        <f>IF(F72=" "," ",_xlfn.XLOOKUP($C72,'Power Blocks'!$C$20:$C$31,'Power Blocks'!$M$20:$M$31,,)*$G72)</f>
        <v xml:space="preserve"> 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3:30">
      <c r="C73" s="72" t="s">
        <v>58</v>
      </c>
      <c r="D73" s="73" t="s">
        <v>59</v>
      </c>
      <c r="E73" s="73" t="s">
        <v>59</v>
      </c>
      <c r="F73" s="56" t="str">
        <f>_xlfn.XLOOKUP($C73,'Power Blocks'!$C$20:$C$31,'Power Blocks'!$D$20:$D$31,,)</f>
        <v xml:space="preserve"> </v>
      </c>
      <c r="G73" s="57" t="str">
        <f>IF(F73=" "," ",D73/_xlfn.XLOOKUP($C73,'Power Blocks'!$C$20:$C$31,'Power Blocks'!$I$20:$I$31,,))</f>
        <v xml:space="preserve"> </v>
      </c>
      <c r="H73" s="58" t="str">
        <f>IF(F73=" "," ",_xlfn.XLOOKUP($C73,'Power Blocks'!$C$20:$C$31,'Power Blocks'!$J$20:$J$31,,)*$G73)</f>
        <v xml:space="preserve"> </v>
      </c>
      <c r="I73" s="59" t="str">
        <f>IF(F73=" "," ",_xlfn.XLOOKUP($C73,'Power Blocks'!$C$20:$C$31,'Power Blocks'!$K$20:$K$31,,)/1000*$G73)</f>
        <v xml:space="preserve"> </v>
      </c>
      <c r="J73" s="67" t="str">
        <f>IF(F73=" "," ",_xlfn.XLOOKUP($C73,'Power Blocks'!$C$20:$C$31,'Power Blocks'!$M$20:$M$31,,)*$G73)</f>
        <v xml:space="preserve"> 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3:30">
      <c r="C74" s="72" t="s">
        <v>58</v>
      </c>
      <c r="D74" s="73" t="s">
        <v>59</v>
      </c>
      <c r="E74" s="73" t="s">
        <v>59</v>
      </c>
      <c r="F74" s="56" t="str">
        <f>_xlfn.XLOOKUP($C74,'Power Blocks'!$C$20:$C$31,'Power Blocks'!$D$20:$D$31,,)</f>
        <v xml:space="preserve"> </v>
      </c>
      <c r="G74" s="57" t="str">
        <f>IF(F74=" "," ",D74/_xlfn.XLOOKUP($C74,'Power Blocks'!$C$20:$C$31,'Power Blocks'!$I$20:$I$31,,))</f>
        <v xml:space="preserve"> </v>
      </c>
      <c r="H74" s="58" t="str">
        <f>IF(F74=" "," ",_xlfn.XLOOKUP($C74,'Power Blocks'!$C$20:$C$31,'Power Blocks'!$J$20:$J$31,,)*$G74)</f>
        <v xml:space="preserve"> </v>
      </c>
      <c r="I74" s="59" t="str">
        <f>IF(F74=" "," ",_xlfn.XLOOKUP($C74,'Power Blocks'!$C$20:$C$31,'Power Blocks'!$K$20:$K$31,,)/1000*$G74)</f>
        <v xml:space="preserve"> </v>
      </c>
      <c r="J74" s="67" t="str">
        <f>IF(F74=" "," ",_xlfn.XLOOKUP($C74,'Power Blocks'!$C$20:$C$31,'Power Blocks'!$M$20:$M$31,,)*$G74)</f>
        <v xml:space="preserve"> 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101" spans="3:30">
      <c r="C101" s="218" t="s">
        <v>74</v>
      </c>
      <c r="D101" s="218"/>
      <c r="E101" s="218"/>
      <c r="F101" s="218"/>
      <c r="G101" s="218"/>
      <c r="H101" s="218"/>
      <c r="I101" s="218"/>
      <c r="J101" s="218"/>
      <c r="K101" s="116">
        <v>2024</v>
      </c>
      <c r="L101" s="116">
        <v>2024.25</v>
      </c>
      <c r="M101" s="116">
        <v>2024.5</v>
      </c>
      <c r="N101" s="116">
        <v>2024.75</v>
      </c>
      <c r="O101" s="116">
        <v>2025</v>
      </c>
      <c r="P101" s="116">
        <v>2025.25</v>
      </c>
      <c r="Q101" s="116">
        <f t="shared" ref="Q101:AD101" si="7">P101+0.25</f>
        <v>2025.5</v>
      </c>
      <c r="R101" s="116">
        <f t="shared" si="7"/>
        <v>2025.75</v>
      </c>
      <c r="S101" s="116">
        <f t="shared" si="7"/>
        <v>2026</v>
      </c>
      <c r="T101" s="116">
        <f t="shared" si="7"/>
        <v>2026.25</v>
      </c>
      <c r="U101" s="116">
        <f t="shared" si="7"/>
        <v>2026.5</v>
      </c>
      <c r="V101" s="116">
        <f t="shared" si="7"/>
        <v>2026.75</v>
      </c>
      <c r="W101" s="116">
        <f t="shared" si="7"/>
        <v>2027</v>
      </c>
      <c r="X101" s="116">
        <f t="shared" si="7"/>
        <v>2027.25</v>
      </c>
      <c r="Y101" s="116">
        <f t="shared" si="7"/>
        <v>2027.5</v>
      </c>
      <c r="Z101" s="116">
        <f t="shared" si="7"/>
        <v>2027.75</v>
      </c>
      <c r="AA101" s="116">
        <f t="shared" si="7"/>
        <v>2028</v>
      </c>
      <c r="AB101" s="116">
        <f t="shared" si="7"/>
        <v>2028.25</v>
      </c>
      <c r="AC101" s="116">
        <f t="shared" si="7"/>
        <v>2028.5</v>
      </c>
      <c r="AD101" s="116">
        <f t="shared" si="7"/>
        <v>2028.75</v>
      </c>
    </row>
    <row r="102" spans="3:30">
      <c r="C102" s="218"/>
      <c r="D102" s="218"/>
      <c r="E102" s="218"/>
      <c r="F102" s="218"/>
      <c r="G102" s="218"/>
      <c r="H102" s="218"/>
      <c r="I102" s="218"/>
      <c r="J102" s="218"/>
      <c r="K102" s="117">
        <f>SUM(K105:K128)</f>
        <v>0</v>
      </c>
      <c r="L102" s="117">
        <f t="shared" ref="L102:AD102" si="8">SUM(L105:L128)</f>
        <v>2569.136</v>
      </c>
      <c r="M102" s="117">
        <f t="shared" si="8"/>
        <v>0</v>
      </c>
      <c r="N102" s="117">
        <f t="shared" si="8"/>
        <v>0</v>
      </c>
      <c r="O102" s="117">
        <f t="shared" si="8"/>
        <v>0</v>
      </c>
      <c r="P102" s="117">
        <f t="shared" si="8"/>
        <v>0</v>
      </c>
      <c r="Q102" s="117">
        <f t="shared" si="8"/>
        <v>3428.52</v>
      </c>
      <c r="R102" s="117">
        <f t="shared" si="8"/>
        <v>0</v>
      </c>
      <c r="S102" s="117">
        <f t="shared" si="8"/>
        <v>0</v>
      </c>
      <c r="T102" s="117">
        <f t="shared" si="8"/>
        <v>0</v>
      </c>
      <c r="U102" s="117">
        <f t="shared" si="8"/>
        <v>0</v>
      </c>
      <c r="V102" s="117">
        <f t="shared" si="8"/>
        <v>0</v>
      </c>
      <c r="W102" s="117">
        <f t="shared" si="8"/>
        <v>0</v>
      </c>
      <c r="X102" s="117">
        <f t="shared" si="8"/>
        <v>0</v>
      </c>
      <c r="Y102" s="117">
        <f t="shared" si="8"/>
        <v>0</v>
      </c>
      <c r="Z102" s="117">
        <f t="shared" si="8"/>
        <v>0</v>
      </c>
      <c r="AA102" s="117">
        <f t="shared" si="8"/>
        <v>0</v>
      </c>
      <c r="AB102" s="117">
        <f t="shared" si="8"/>
        <v>0</v>
      </c>
      <c r="AC102" s="117">
        <f t="shared" si="8"/>
        <v>0</v>
      </c>
      <c r="AD102" s="117">
        <f t="shared" si="8"/>
        <v>0</v>
      </c>
    </row>
    <row r="103" spans="3:30">
      <c r="C103" s="122" t="str">
        <f t="shared" ref="C103:J104" si="9">C51</f>
        <v>HPC1</v>
      </c>
      <c r="D103" s="112">
        <f t="shared" si="9"/>
        <v>500</v>
      </c>
      <c r="E103" s="111" t="str">
        <f t="shared" si="9"/>
        <v>Enterprise</v>
      </c>
      <c r="F103" s="111" t="str">
        <f t="shared" si="9"/>
        <v>IT</v>
      </c>
      <c r="G103" s="112">
        <f t="shared" si="9"/>
        <v>5</v>
      </c>
      <c r="H103" s="113">
        <f t="shared" si="9"/>
        <v>0.5</v>
      </c>
      <c r="I103" s="111">
        <f t="shared" si="9"/>
        <v>5000</v>
      </c>
      <c r="J103" s="114">
        <f t="shared" si="9"/>
        <v>0</v>
      </c>
      <c r="K103" s="115">
        <f t="shared" ref="K103:AD104" si="10">IF(AND(ISBLANK(K51),NOT(ISBLANK(L51))),$I51,0)</f>
        <v>0</v>
      </c>
      <c r="L103" s="115">
        <f t="shared" si="10"/>
        <v>0</v>
      </c>
      <c r="M103" s="115">
        <f t="shared" si="10"/>
        <v>0</v>
      </c>
      <c r="N103" s="115">
        <f t="shared" si="10"/>
        <v>0</v>
      </c>
      <c r="O103" s="115">
        <f t="shared" si="10"/>
        <v>0</v>
      </c>
      <c r="P103" s="115">
        <f t="shared" si="10"/>
        <v>0</v>
      </c>
      <c r="Q103" s="115">
        <f t="shared" si="10"/>
        <v>0</v>
      </c>
      <c r="R103" s="115">
        <f t="shared" si="10"/>
        <v>0</v>
      </c>
      <c r="S103" s="115">
        <f t="shared" si="10"/>
        <v>0</v>
      </c>
      <c r="T103" s="115">
        <f t="shared" si="10"/>
        <v>0</v>
      </c>
      <c r="U103" s="115">
        <f t="shared" si="10"/>
        <v>0</v>
      </c>
      <c r="V103" s="115">
        <f t="shared" si="10"/>
        <v>0</v>
      </c>
      <c r="W103" s="115">
        <f t="shared" si="10"/>
        <v>0</v>
      </c>
      <c r="X103" s="115">
        <f t="shared" si="10"/>
        <v>0</v>
      </c>
      <c r="Y103" s="115">
        <f t="shared" si="10"/>
        <v>0</v>
      </c>
      <c r="Z103" s="115">
        <f t="shared" si="10"/>
        <v>0</v>
      </c>
      <c r="AA103" s="115">
        <f t="shared" si="10"/>
        <v>0</v>
      </c>
      <c r="AB103" s="115">
        <f t="shared" si="10"/>
        <v>0</v>
      </c>
      <c r="AC103" s="115">
        <f t="shared" si="10"/>
        <v>0</v>
      </c>
      <c r="AD103" s="115">
        <f t="shared" si="10"/>
        <v>0</v>
      </c>
    </row>
    <row r="104" spans="3:30">
      <c r="C104" s="122" t="str">
        <f t="shared" si="9"/>
        <v>HPC1</v>
      </c>
      <c r="D104" s="112">
        <f t="shared" si="9"/>
        <v>38</v>
      </c>
      <c r="E104" s="111" t="str">
        <f t="shared" si="9"/>
        <v>Discovery</v>
      </c>
      <c r="F104" s="111" t="str">
        <f t="shared" si="9"/>
        <v>CPU</v>
      </c>
      <c r="G104" s="112">
        <f t="shared" si="9"/>
        <v>0.38</v>
      </c>
      <c r="H104" s="113">
        <f t="shared" si="9"/>
        <v>3.8000000000000006E-2</v>
      </c>
      <c r="I104" s="111">
        <f t="shared" si="9"/>
        <v>380</v>
      </c>
      <c r="J104" s="114">
        <f t="shared" si="9"/>
        <v>4864</v>
      </c>
      <c r="K104" s="115">
        <f t="shared" si="10"/>
        <v>0</v>
      </c>
      <c r="L104" s="115">
        <f t="shared" si="10"/>
        <v>0</v>
      </c>
      <c r="M104" s="115">
        <f t="shared" si="10"/>
        <v>0</v>
      </c>
      <c r="N104" s="115">
        <f t="shared" si="10"/>
        <v>0</v>
      </c>
      <c r="O104" s="115">
        <f t="shared" si="10"/>
        <v>0</v>
      </c>
      <c r="P104" s="115">
        <f t="shared" si="10"/>
        <v>0</v>
      </c>
      <c r="Q104" s="115">
        <f t="shared" si="10"/>
        <v>0</v>
      </c>
      <c r="R104" s="115">
        <f t="shared" si="10"/>
        <v>0</v>
      </c>
      <c r="S104" s="115">
        <f t="shared" si="10"/>
        <v>0</v>
      </c>
      <c r="T104" s="115">
        <f t="shared" si="10"/>
        <v>0</v>
      </c>
      <c r="U104" s="115">
        <f t="shared" si="10"/>
        <v>0</v>
      </c>
      <c r="V104" s="115">
        <f t="shared" si="10"/>
        <v>0</v>
      </c>
      <c r="W104" s="115">
        <f t="shared" si="10"/>
        <v>0</v>
      </c>
      <c r="X104" s="115">
        <f t="shared" si="10"/>
        <v>0</v>
      </c>
      <c r="Y104" s="115">
        <f t="shared" si="10"/>
        <v>0</v>
      </c>
      <c r="Z104" s="115">
        <f t="shared" si="10"/>
        <v>0</v>
      </c>
      <c r="AA104" s="115">
        <f t="shared" si="10"/>
        <v>0</v>
      </c>
      <c r="AB104" s="115">
        <f t="shared" si="10"/>
        <v>0</v>
      </c>
      <c r="AC104" s="115">
        <f t="shared" si="10"/>
        <v>0</v>
      </c>
      <c r="AD104" s="115">
        <f t="shared" si="10"/>
        <v>0</v>
      </c>
    </row>
    <row r="105" spans="3:30">
      <c r="C105" s="122" t="str">
        <f t="shared" ref="C105:J105" si="11">C53</f>
        <v>HDD</v>
      </c>
      <c r="D105" s="112">
        <f t="shared" si="11"/>
        <v>28</v>
      </c>
      <c r="E105" s="111" t="str">
        <f t="shared" si="11"/>
        <v>Research</v>
      </c>
      <c r="F105" s="111" t="str">
        <f t="shared" si="11"/>
        <v>Hdisk</v>
      </c>
      <c r="G105" s="112">
        <f t="shared" si="11"/>
        <v>0.2</v>
      </c>
      <c r="H105" s="113">
        <f t="shared" si="11"/>
        <v>0.06</v>
      </c>
      <c r="I105" s="111">
        <f t="shared" si="11"/>
        <v>799.98800000000006</v>
      </c>
      <c r="J105" s="114">
        <f t="shared" si="11"/>
        <v>14.840000000000002</v>
      </c>
      <c r="K105" s="115">
        <f t="shared" ref="K105:AD105" si="12">IF(AND(ISBLANK(K53),NOT(ISBLANK(L53))),$I53,0)</f>
        <v>0</v>
      </c>
      <c r="L105" s="115">
        <f t="shared" si="12"/>
        <v>0</v>
      </c>
      <c r="M105" s="115">
        <f t="shared" si="12"/>
        <v>0</v>
      </c>
      <c r="N105" s="115">
        <f t="shared" si="12"/>
        <v>0</v>
      </c>
      <c r="O105" s="115">
        <f t="shared" si="12"/>
        <v>0</v>
      </c>
      <c r="P105" s="115">
        <f t="shared" si="12"/>
        <v>0</v>
      </c>
      <c r="Q105" s="115">
        <f t="shared" si="12"/>
        <v>0</v>
      </c>
      <c r="R105" s="115">
        <f t="shared" si="12"/>
        <v>0</v>
      </c>
      <c r="S105" s="115">
        <f t="shared" si="12"/>
        <v>0</v>
      </c>
      <c r="T105" s="115">
        <f t="shared" si="12"/>
        <v>0</v>
      </c>
      <c r="U105" s="115">
        <f t="shared" si="12"/>
        <v>0</v>
      </c>
      <c r="V105" s="115">
        <f t="shared" si="12"/>
        <v>0</v>
      </c>
      <c r="W105" s="115">
        <f t="shared" si="12"/>
        <v>0</v>
      </c>
      <c r="X105" s="115">
        <f t="shared" si="12"/>
        <v>0</v>
      </c>
      <c r="Y105" s="115">
        <f t="shared" si="12"/>
        <v>0</v>
      </c>
      <c r="Z105" s="115">
        <f t="shared" si="12"/>
        <v>0</v>
      </c>
      <c r="AA105" s="115">
        <f t="shared" si="12"/>
        <v>0</v>
      </c>
      <c r="AB105" s="115">
        <f t="shared" si="12"/>
        <v>0</v>
      </c>
      <c r="AC105" s="115">
        <f t="shared" si="12"/>
        <v>0</v>
      </c>
      <c r="AD105" s="115">
        <f t="shared" si="12"/>
        <v>0</v>
      </c>
    </row>
    <row r="106" spans="3:30">
      <c r="C106" s="122" t="str">
        <f t="shared" ref="C106:J106" si="13">C54</f>
        <v>HPC1</v>
      </c>
      <c r="D106" s="112">
        <f t="shared" si="13"/>
        <v>40</v>
      </c>
      <c r="E106" s="111" t="str">
        <f t="shared" si="13"/>
        <v>DSAI P1</v>
      </c>
      <c r="F106" s="111" t="str">
        <f t="shared" si="13"/>
        <v>CPU</v>
      </c>
      <c r="G106" s="112">
        <f t="shared" si="13"/>
        <v>0.4</v>
      </c>
      <c r="H106" s="113">
        <f t="shared" si="13"/>
        <v>4.0000000000000008E-2</v>
      </c>
      <c r="I106" s="111">
        <f t="shared" si="13"/>
        <v>400</v>
      </c>
      <c r="J106" s="114">
        <f t="shared" si="13"/>
        <v>5120</v>
      </c>
      <c r="K106" s="115">
        <f t="shared" ref="K106:AD106" si="14">IF(AND(ISBLANK(K54),NOT(ISBLANK(L54))),$I54,0)</f>
        <v>0</v>
      </c>
      <c r="L106" s="115">
        <f t="shared" si="14"/>
        <v>400</v>
      </c>
      <c r="M106" s="115">
        <f t="shared" si="14"/>
        <v>0</v>
      </c>
      <c r="N106" s="115">
        <f t="shared" si="14"/>
        <v>0</v>
      </c>
      <c r="O106" s="115">
        <f t="shared" si="14"/>
        <v>0</v>
      </c>
      <c r="P106" s="115">
        <f t="shared" si="14"/>
        <v>0</v>
      </c>
      <c r="Q106" s="115">
        <f t="shared" si="14"/>
        <v>0</v>
      </c>
      <c r="R106" s="115">
        <f t="shared" si="14"/>
        <v>0</v>
      </c>
      <c r="S106" s="115">
        <f t="shared" si="14"/>
        <v>0</v>
      </c>
      <c r="T106" s="115">
        <f t="shared" si="14"/>
        <v>0</v>
      </c>
      <c r="U106" s="115">
        <f t="shared" si="14"/>
        <v>0</v>
      </c>
      <c r="V106" s="115">
        <f t="shared" si="14"/>
        <v>0</v>
      </c>
      <c r="W106" s="115">
        <f t="shared" si="14"/>
        <v>0</v>
      </c>
      <c r="X106" s="115">
        <f t="shared" si="14"/>
        <v>0</v>
      </c>
      <c r="Y106" s="115">
        <f t="shared" si="14"/>
        <v>0</v>
      </c>
      <c r="Z106" s="115">
        <f t="shared" si="14"/>
        <v>0</v>
      </c>
      <c r="AA106" s="115">
        <f t="shared" si="14"/>
        <v>0</v>
      </c>
      <c r="AB106" s="115">
        <f t="shared" si="14"/>
        <v>0</v>
      </c>
      <c r="AC106" s="115">
        <f t="shared" si="14"/>
        <v>0</v>
      </c>
      <c r="AD106" s="115">
        <f t="shared" si="14"/>
        <v>0</v>
      </c>
    </row>
    <row r="107" spans="3:30">
      <c r="C107" s="122" t="str">
        <f t="shared" ref="C107:J107" si="15">C55</f>
        <v>H100-4</v>
      </c>
      <c r="D107" s="112">
        <f t="shared" si="15"/>
        <v>16</v>
      </c>
      <c r="E107" s="111" t="str">
        <f t="shared" si="15"/>
        <v>DSAI P1</v>
      </c>
      <c r="F107" s="111" t="str">
        <f t="shared" si="15"/>
        <v>GPU</v>
      </c>
      <c r="G107" s="112">
        <f t="shared" si="15"/>
        <v>1</v>
      </c>
      <c r="H107" s="113">
        <f t="shared" si="15"/>
        <v>0.1</v>
      </c>
      <c r="I107" s="111">
        <f t="shared" si="15"/>
        <v>1712</v>
      </c>
      <c r="J107" s="114">
        <f t="shared" si="15"/>
        <v>64</v>
      </c>
      <c r="K107" s="115">
        <f t="shared" ref="K107:AD107" si="16">IF(AND(ISBLANK(K55),NOT(ISBLANK(L55))),$I55,0)</f>
        <v>0</v>
      </c>
      <c r="L107" s="115">
        <f t="shared" si="16"/>
        <v>1712</v>
      </c>
      <c r="M107" s="115">
        <f t="shared" si="16"/>
        <v>0</v>
      </c>
      <c r="N107" s="115">
        <f t="shared" si="16"/>
        <v>0</v>
      </c>
      <c r="O107" s="115">
        <f t="shared" si="16"/>
        <v>0</v>
      </c>
      <c r="P107" s="115">
        <f t="shared" si="16"/>
        <v>0</v>
      </c>
      <c r="Q107" s="115">
        <f t="shared" si="16"/>
        <v>0</v>
      </c>
      <c r="R107" s="115">
        <f t="shared" si="16"/>
        <v>0</v>
      </c>
      <c r="S107" s="115">
        <f t="shared" si="16"/>
        <v>0</v>
      </c>
      <c r="T107" s="115">
        <f t="shared" si="16"/>
        <v>0</v>
      </c>
      <c r="U107" s="115">
        <f t="shared" si="16"/>
        <v>0</v>
      </c>
      <c r="V107" s="115">
        <f t="shared" si="16"/>
        <v>0</v>
      </c>
      <c r="W107" s="115">
        <f t="shared" si="16"/>
        <v>0</v>
      </c>
      <c r="X107" s="115">
        <f t="shared" si="16"/>
        <v>0</v>
      </c>
      <c r="Y107" s="115">
        <f t="shared" si="16"/>
        <v>0</v>
      </c>
      <c r="Z107" s="115">
        <f t="shared" si="16"/>
        <v>0</v>
      </c>
      <c r="AA107" s="115">
        <f t="shared" si="16"/>
        <v>0</v>
      </c>
      <c r="AB107" s="115">
        <f t="shared" si="16"/>
        <v>0</v>
      </c>
      <c r="AC107" s="115">
        <f t="shared" si="16"/>
        <v>0</v>
      </c>
      <c r="AD107" s="115">
        <f t="shared" si="16"/>
        <v>0</v>
      </c>
    </row>
    <row r="108" spans="3:30">
      <c r="C108" s="122" t="str">
        <f t="shared" ref="C108:J108" si="17">C56</f>
        <v>HDD</v>
      </c>
      <c r="D108" s="112">
        <f t="shared" si="17"/>
        <v>16</v>
      </c>
      <c r="E108" s="111" t="str">
        <f t="shared" si="17"/>
        <v>DSAI P1</v>
      </c>
      <c r="F108" s="111" t="str">
        <f t="shared" si="17"/>
        <v>Hdisk</v>
      </c>
      <c r="G108" s="112">
        <f t="shared" si="17"/>
        <v>0.11428571428571428</v>
      </c>
      <c r="H108" s="113">
        <f t="shared" si="17"/>
        <v>1.1428571428571429E-2</v>
      </c>
      <c r="I108" s="111">
        <f t="shared" si="17"/>
        <v>457.13599999999997</v>
      </c>
      <c r="J108" s="114">
        <f t="shared" si="17"/>
        <v>8.48</v>
      </c>
      <c r="K108" s="115">
        <f t="shared" ref="K108:AD108" si="18">IF(AND(ISBLANK(K56),NOT(ISBLANK(L56))),$I56,0)</f>
        <v>0</v>
      </c>
      <c r="L108" s="115">
        <f t="shared" si="18"/>
        <v>457.13599999999997</v>
      </c>
      <c r="M108" s="115">
        <f t="shared" si="18"/>
        <v>0</v>
      </c>
      <c r="N108" s="115">
        <f t="shared" si="18"/>
        <v>0</v>
      </c>
      <c r="O108" s="115">
        <f t="shared" si="18"/>
        <v>0</v>
      </c>
      <c r="P108" s="115">
        <f t="shared" si="18"/>
        <v>0</v>
      </c>
      <c r="Q108" s="115">
        <f t="shared" si="18"/>
        <v>0</v>
      </c>
      <c r="R108" s="115">
        <f t="shared" si="18"/>
        <v>0</v>
      </c>
      <c r="S108" s="115">
        <f t="shared" si="18"/>
        <v>0</v>
      </c>
      <c r="T108" s="115">
        <f t="shared" si="18"/>
        <v>0</v>
      </c>
      <c r="U108" s="115">
        <f t="shared" si="18"/>
        <v>0</v>
      </c>
      <c r="V108" s="115">
        <f t="shared" si="18"/>
        <v>0</v>
      </c>
      <c r="W108" s="115">
        <f t="shared" si="18"/>
        <v>0</v>
      </c>
      <c r="X108" s="115">
        <f t="shared" si="18"/>
        <v>0</v>
      </c>
      <c r="Y108" s="115">
        <f t="shared" si="18"/>
        <v>0</v>
      </c>
      <c r="Z108" s="115">
        <f t="shared" si="18"/>
        <v>0</v>
      </c>
      <c r="AA108" s="115">
        <f t="shared" si="18"/>
        <v>0</v>
      </c>
      <c r="AB108" s="115">
        <f t="shared" si="18"/>
        <v>0</v>
      </c>
      <c r="AC108" s="115">
        <f t="shared" si="18"/>
        <v>0</v>
      </c>
      <c r="AD108" s="115">
        <f t="shared" si="18"/>
        <v>0</v>
      </c>
    </row>
    <row r="109" spans="3:30">
      <c r="C109" s="122" t="str">
        <f t="shared" ref="C109:J109" si="19">C57</f>
        <v>HDD</v>
      </c>
      <c r="D109" s="112">
        <f t="shared" si="19"/>
        <v>120</v>
      </c>
      <c r="E109" s="111" t="str">
        <f t="shared" si="19"/>
        <v>DSAI P2</v>
      </c>
      <c r="F109" s="111" t="str">
        <f t="shared" si="19"/>
        <v>Hdisk</v>
      </c>
      <c r="G109" s="112">
        <f t="shared" si="19"/>
        <v>0.8571428571428571</v>
      </c>
      <c r="H109" s="113">
        <f t="shared" si="19"/>
        <v>8.5714285714285715E-2</v>
      </c>
      <c r="I109" s="111">
        <f t="shared" si="19"/>
        <v>3428.52</v>
      </c>
      <c r="J109" s="114">
        <f t="shared" si="19"/>
        <v>63.6</v>
      </c>
      <c r="K109" s="115">
        <f t="shared" ref="K109:AD109" si="20">IF(AND(ISBLANK(K57),NOT(ISBLANK(L57))),$I57,0)</f>
        <v>0</v>
      </c>
      <c r="L109" s="115">
        <f t="shared" si="20"/>
        <v>0</v>
      </c>
      <c r="M109" s="115">
        <f t="shared" si="20"/>
        <v>0</v>
      </c>
      <c r="N109" s="115">
        <f t="shared" si="20"/>
        <v>0</v>
      </c>
      <c r="O109" s="115">
        <f t="shared" si="20"/>
        <v>0</v>
      </c>
      <c r="P109" s="115">
        <f t="shared" si="20"/>
        <v>0</v>
      </c>
      <c r="Q109" s="115">
        <f t="shared" si="20"/>
        <v>3428.52</v>
      </c>
      <c r="R109" s="115">
        <f t="shared" si="20"/>
        <v>0</v>
      </c>
      <c r="S109" s="115">
        <f t="shared" si="20"/>
        <v>0</v>
      </c>
      <c r="T109" s="115">
        <f t="shared" si="20"/>
        <v>0</v>
      </c>
      <c r="U109" s="115">
        <f t="shared" si="20"/>
        <v>0</v>
      </c>
      <c r="V109" s="115">
        <f t="shared" si="20"/>
        <v>0</v>
      </c>
      <c r="W109" s="115">
        <f t="shared" si="20"/>
        <v>0</v>
      </c>
      <c r="X109" s="115">
        <f t="shared" si="20"/>
        <v>0</v>
      </c>
      <c r="Y109" s="115">
        <f t="shared" si="20"/>
        <v>0</v>
      </c>
      <c r="Z109" s="115">
        <f t="shared" si="20"/>
        <v>0</v>
      </c>
      <c r="AA109" s="115">
        <f t="shared" si="20"/>
        <v>0</v>
      </c>
      <c r="AB109" s="115">
        <f t="shared" si="20"/>
        <v>0</v>
      </c>
      <c r="AC109" s="115">
        <f t="shared" si="20"/>
        <v>0</v>
      </c>
      <c r="AD109" s="115">
        <f t="shared" si="20"/>
        <v>0</v>
      </c>
    </row>
    <row r="110" spans="3:30">
      <c r="C110" s="122" t="str">
        <f t="shared" ref="C110:J110" si="21">C58</f>
        <v>--</v>
      </c>
      <c r="D110" s="112">
        <f t="shared" si="21"/>
        <v>0</v>
      </c>
      <c r="E110" s="111" t="str">
        <f t="shared" si="21"/>
        <v xml:space="preserve"> </v>
      </c>
      <c r="F110" s="111" t="str">
        <f t="shared" si="21"/>
        <v xml:space="preserve"> </v>
      </c>
      <c r="G110" s="112" t="str">
        <f t="shared" si="21"/>
        <v xml:space="preserve"> </v>
      </c>
      <c r="H110" s="113" t="str">
        <f t="shared" si="21"/>
        <v xml:space="preserve"> </v>
      </c>
      <c r="I110" s="111" t="str">
        <f t="shared" si="21"/>
        <v xml:space="preserve"> </v>
      </c>
      <c r="J110" s="114" t="str">
        <f t="shared" si="21"/>
        <v xml:space="preserve"> </v>
      </c>
      <c r="K110" s="115">
        <f t="shared" ref="K110:AD110" si="22">IF(AND(ISBLANK(K58),NOT(ISBLANK(L58))),$I58,0)</f>
        <v>0</v>
      </c>
      <c r="L110" s="115">
        <f t="shared" si="22"/>
        <v>0</v>
      </c>
      <c r="M110" s="115" t="str">
        <f t="shared" si="22"/>
        <v xml:space="preserve"> </v>
      </c>
      <c r="N110" s="115">
        <f t="shared" si="22"/>
        <v>0</v>
      </c>
      <c r="O110" s="115">
        <f t="shared" si="22"/>
        <v>0</v>
      </c>
      <c r="P110" s="115">
        <f t="shared" si="22"/>
        <v>0</v>
      </c>
      <c r="Q110" s="115">
        <f t="shared" si="22"/>
        <v>0</v>
      </c>
      <c r="R110" s="115">
        <f t="shared" si="22"/>
        <v>0</v>
      </c>
      <c r="S110" s="115">
        <f t="shared" si="22"/>
        <v>0</v>
      </c>
      <c r="T110" s="115">
        <f t="shared" si="22"/>
        <v>0</v>
      </c>
      <c r="U110" s="115">
        <f t="shared" si="22"/>
        <v>0</v>
      </c>
      <c r="V110" s="115">
        <f t="shared" si="22"/>
        <v>0</v>
      </c>
      <c r="W110" s="115">
        <f t="shared" si="22"/>
        <v>0</v>
      </c>
      <c r="X110" s="115">
        <f t="shared" si="22"/>
        <v>0</v>
      </c>
      <c r="Y110" s="115">
        <f t="shared" si="22"/>
        <v>0</v>
      </c>
      <c r="Z110" s="115">
        <f t="shared" si="22"/>
        <v>0</v>
      </c>
      <c r="AA110" s="115">
        <f t="shared" si="22"/>
        <v>0</v>
      </c>
      <c r="AB110" s="115">
        <f t="shared" si="22"/>
        <v>0</v>
      </c>
      <c r="AC110" s="115">
        <f t="shared" si="22"/>
        <v>0</v>
      </c>
      <c r="AD110" s="115">
        <f t="shared" si="22"/>
        <v>0</v>
      </c>
    </row>
    <row r="111" spans="3:30">
      <c r="C111" s="122" t="str">
        <f t="shared" ref="C111:J111" si="23">C59</f>
        <v>--</v>
      </c>
      <c r="D111" s="112">
        <f t="shared" si="23"/>
        <v>0</v>
      </c>
      <c r="E111" s="111" t="str">
        <f t="shared" si="23"/>
        <v xml:space="preserve"> </v>
      </c>
      <c r="F111" s="111" t="str">
        <f t="shared" si="23"/>
        <v xml:space="preserve"> </v>
      </c>
      <c r="G111" s="112" t="str">
        <f t="shared" si="23"/>
        <v xml:space="preserve"> </v>
      </c>
      <c r="H111" s="113" t="str">
        <f t="shared" si="23"/>
        <v xml:space="preserve"> </v>
      </c>
      <c r="I111" s="111" t="str">
        <f t="shared" si="23"/>
        <v xml:space="preserve"> </v>
      </c>
      <c r="J111" s="114" t="str">
        <f t="shared" si="23"/>
        <v xml:space="preserve"> </v>
      </c>
      <c r="K111" s="115">
        <f t="shared" ref="K111:AD111" si="24">IF(AND(ISBLANK(K59),NOT(ISBLANK(L59))),$I59,0)</f>
        <v>0</v>
      </c>
      <c r="L111" s="115">
        <f t="shared" si="24"/>
        <v>0</v>
      </c>
      <c r="M111" s="115" t="str">
        <f t="shared" si="24"/>
        <v xml:space="preserve"> </v>
      </c>
      <c r="N111" s="115">
        <f t="shared" si="24"/>
        <v>0</v>
      </c>
      <c r="O111" s="115">
        <f t="shared" si="24"/>
        <v>0</v>
      </c>
      <c r="P111" s="115">
        <f t="shared" si="24"/>
        <v>0</v>
      </c>
      <c r="Q111" s="115">
        <f t="shared" si="24"/>
        <v>0</v>
      </c>
      <c r="R111" s="115">
        <f t="shared" si="24"/>
        <v>0</v>
      </c>
      <c r="S111" s="115">
        <f t="shared" si="24"/>
        <v>0</v>
      </c>
      <c r="T111" s="115">
        <f t="shared" si="24"/>
        <v>0</v>
      </c>
      <c r="U111" s="115">
        <f t="shared" si="24"/>
        <v>0</v>
      </c>
      <c r="V111" s="115">
        <f t="shared" si="24"/>
        <v>0</v>
      </c>
      <c r="W111" s="115">
        <f t="shared" si="24"/>
        <v>0</v>
      </c>
      <c r="X111" s="115">
        <f t="shared" si="24"/>
        <v>0</v>
      </c>
      <c r="Y111" s="115">
        <f t="shared" si="24"/>
        <v>0</v>
      </c>
      <c r="Z111" s="115">
        <f t="shared" si="24"/>
        <v>0</v>
      </c>
      <c r="AA111" s="115">
        <f t="shared" si="24"/>
        <v>0</v>
      </c>
      <c r="AB111" s="115">
        <f t="shared" si="24"/>
        <v>0</v>
      </c>
      <c r="AC111" s="115">
        <f t="shared" si="24"/>
        <v>0</v>
      </c>
      <c r="AD111" s="115">
        <f t="shared" si="24"/>
        <v>0</v>
      </c>
    </row>
    <row r="112" spans="3:30">
      <c r="C112" s="122" t="str">
        <f t="shared" ref="C112:J112" si="25">C60</f>
        <v>--</v>
      </c>
      <c r="D112" s="112">
        <f t="shared" si="25"/>
        <v>0</v>
      </c>
      <c r="E112" s="111" t="str">
        <f t="shared" si="25"/>
        <v xml:space="preserve"> </v>
      </c>
      <c r="F112" s="111" t="str">
        <f t="shared" si="25"/>
        <v xml:space="preserve"> </v>
      </c>
      <c r="G112" s="112" t="str">
        <f t="shared" si="25"/>
        <v xml:space="preserve"> </v>
      </c>
      <c r="H112" s="113" t="str">
        <f t="shared" si="25"/>
        <v xml:space="preserve"> </v>
      </c>
      <c r="I112" s="111" t="str">
        <f t="shared" si="25"/>
        <v xml:space="preserve"> </v>
      </c>
      <c r="J112" s="114" t="str">
        <f t="shared" si="25"/>
        <v xml:space="preserve"> </v>
      </c>
      <c r="K112" s="115">
        <f t="shared" ref="K112:AD112" si="26">IF(AND(ISBLANK(K60),NOT(ISBLANK(L60))),$I60,0)</f>
        <v>0</v>
      </c>
      <c r="L112" s="115">
        <f t="shared" si="26"/>
        <v>0</v>
      </c>
      <c r="M112" s="115" t="str">
        <f t="shared" si="26"/>
        <v xml:space="preserve"> </v>
      </c>
      <c r="N112" s="115">
        <f t="shared" si="26"/>
        <v>0</v>
      </c>
      <c r="O112" s="115">
        <f t="shared" si="26"/>
        <v>0</v>
      </c>
      <c r="P112" s="115">
        <f t="shared" si="26"/>
        <v>0</v>
      </c>
      <c r="Q112" s="115">
        <f t="shared" si="26"/>
        <v>0</v>
      </c>
      <c r="R112" s="115">
        <f t="shared" si="26"/>
        <v>0</v>
      </c>
      <c r="S112" s="115">
        <f t="shared" si="26"/>
        <v>0</v>
      </c>
      <c r="T112" s="115">
        <f t="shared" si="26"/>
        <v>0</v>
      </c>
      <c r="U112" s="115">
        <f t="shared" si="26"/>
        <v>0</v>
      </c>
      <c r="V112" s="115">
        <f t="shared" si="26"/>
        <v>0</v>
      </c>
      <c r="W112" s="115">
        <f t="shared" si="26"/>
        <v>0</v>
      </c>
      <c r="X112" s="115">
        <f t="shared" si="26"/>
        <v>0</v>
      </c>
      <c r="Y112" s="115">
        <f t="shared" si="26"/>
        <v>0</v>
      </c>
      <c r="Z112" s="115">
        <f t="shared" si="26"/>
        <v>0</v>
      </c>
      <c r="AA112" s="115">
        <f t="shared" si="26"/>
        <v>0</v>
      </c>
      <c r="AB112" s="115">
        <f t="shared" si="26"/>
        <v>0</v>
      </c>
      <c r="AC112" s="115">
        <f t="shared" si="26"/>
        <v>0</v>
      </c>
      <c r="AD112" s="115">
        <f t="shared" si="26"/>
        <v>0</v>
      </c>
    </row>
    <row r="113" spans="3:30">
      <c r="C113" s="122" t="str">
        <f t="shared" ref="C113:J113" si="27">C61</f>
        <v>--</v>
      </c>
      <c r="D113" s="112">
        <f t="shared" si="27"/>
        <v>0</v>
      </c>
      <c r="E113" s="111" t="str">
        <f t="shared" si="27"/>
        <v xml:space="preserve"> </v>
      </c>
      <c r="F113" s="111" t="str">
        <f t="shared" si="27"/>
        <v xml:space="preserve"> </v>
      </c>
      <c r="G113" s="112" t="str">
        <f t="shared" si="27"/>
        <v xml:space="preserve"> </v>
      </c>
      <c r="H113" s="113" t="str">
        <f t="shared" si="27"/>
        <v xml:space="preserve"> </v>
      </c>
      <c r="I113" s="111" t="str">
        <f t="shared" si="27"/>
        <v xml:space="preserve"> </v>
      </c>
      <c r="J113" s="114" t="str">
        <f t="shared" si="27"/>
        <v xml:space="preserve"> </v>
      </c>
      <c r="K113" s="115">
        <f t="shared" ref="K113:AD113" si="28">IF(AND(ISBLANK(K61),NOT(ISBLANK(L61))),$I61,0)</f>
        <v>0</v>
      </c>
      <c r="L113" s="115">
        <f t="shared" si="28"/>
        <v>0</v>
      </c>
      <c r="M113" s="115">
        <f t="shared" si="28"/>
        <v>0</v>
      </c>
      <c r="N113" s="115">
        <f t="shared" si="28"/>
        <v>0</v>
      </c>
      <c r="O113" s="115">
        <f t="shared" si="28"/>
        <v>0</v>
      </c>
      <c r="P113" s="115" t="str">
        <f t="shared" si="28"/>
        <v xml:space="preserve"> </v>
      </c>
      <c r="Q113" s="115">
        <f t="shared" si="28"/>
        <v>0</v>
      </c>
      <c r="R113" s="115">
        <f t="shared" si="28"/>
        <v>0</v>
      </c>
      <c r="S113" s="115">
        <f t="shared" si="28"/>
        <v>0</v>
      </c>
      <c r="T113" s="115">
        <f t="shared" si="28"/>
        <v>0</v>
      </c>
      <c r="U113" s="115">
        <f t="shared" si="28"/>
        <v>0</v>
      </c>
      <c r="V113" s="115">
        <f t="shared" si="28"/>
        <v>0</v>
      </c>
      <c r="W113" s="115">
        <f t="shared" si="28"/>
        <v>0</v>
      </c>
      <c r="X113" s="115">
        <f t="shared" si="28"/>
        <v>0</v>
      </c>
      <c r="Y113" s="115">
        <f t="shared" si="28"/>
        <v>0</v>
      </c>
      <c r="Z113" s="115">
        <f t="shared" si="28"/>
        <v>0</v>
      </c>
      <c r="AA113" s="115">
        <f t="shared" si="28"/>
        <v>0</v>
      </c>
      <c r="AB113" s="115">
        <f t="shared" si="28"/>
        <v>0</v>
      </c>
      <c r="AC113" s="115">
        <f t="shared" si="28"/>
        <v>0</v>
      </c>
      <c r="AD113" s="115">
        <f t="shared" si="28"/>
        <v>0</v>
      </c>
    </row>
    <row r="114" spans="3:30">
      <c r="C114" s="122" t="str">
        <f t="shared" ref="C114:J114" si="29">C62</f>
        <v>--</v>
      </c>
      <c r="D114" s="112">
        <f t="shared" si="29"/>
        <v>0</v>
      </c>
      <c r="E114" s="111" t="str">
        <f t="shared" si="29"/>
        <v xml:space="preserve"> </v>
      </c>
      <c r="F114" s="111" t="str">
        <f t="shared" si="29"/>
        <v xml:space="preserve"> </v>
      </c>
      <c r="G114" s="112" t="str">
        <f t="shared" si="29"/>
        <v xml:space="preserve"> </v>
      </c>
      <c r="H114" s="113" t="str">
        <f t="shared" si="29"/>
        <v xml:space="preserve"> </v>
      </c>
      <c r="I114" s="111" t="str">
        <f t="shared" si="29"/>
        <v xml:space="preserve"> </v>
      </c>
      <c r="J114" s="114" t="str">
        <f t="shared" si="29"/>
        <v xml:space="preserve"> </v>
      </c>
      <c r="K114" s="115">
        <f t="shared" ref="K114:AD114" si="30">IF(AND(ISBLANK(K62),NOT(ISBLANK(L62))),$I62,0)</f>
        <v>0</v>
      </c>
      <c r="L114" s="115">
        <f t="shared" si="30"/>
        <v>0</v>
      </c>
      <c r="M114" s="115">
        <f t="shared" si="30"/>
        <v>0</v>
      </c>
      <c r="N114" s="115">
        <f t="shared" si="30"/>
        <v>0</v>
      </c>
      <c r="O114" s="115">
        <f t="shared" si="30"/>
        <v>0</v>
      </c>
      <c r="P114" s="115">
        <f t="shared" si="30"/>
        <v>0</v>
      </c>
      <c r="Q114" s="115">
        <f t="shared" si="30"/>
        <v>0</v>
      </c>
      <c r="R114" s="115">
        <f t="shared" si="30"/>
        <v>0</v>
      </c>
      <c r="S114" s="115">
        <f t="shared" si="30"/>
        <v>0</v>
      </c>
      <c r="T114" s="115">
        <f t="shared" si="30"/>
        <v>0</v>
      </c>
      <c r="U114" s="115">
        <f t="shared" si="30"/>
        <v>0</v>
      </c>
      <c r="V114" s="115">
        <f t="shared" si="30"/>
        <v>0</v>
      </c>
      <c r="W114" s="115">
        <f t="shared" si="30"/>
        <v>0</v>
      </c>
      <c r="X114" s="115">
        <f t="shared" si="30"/>
        <v>0</v>
      </c>
      <c r="Y114" s="115">
        <f t="shared" si="30"/>
        <v>0</v>
      </c>
      <c r="Z114" s="115">
        <f t="shared" si="30"/>
        <v>0</v>
      </c>
      <c r="AA114" s="115">
        <f t="shared" si="30"/>
        <v>0</v>
      </c>
      <c r="AB114" s="115">
        <f t="shared" si="30"/>
        <v>0</v>
      </c>
      <c r="AC114" s="115">
        <f t="shared" si="30"/>
        <v>0</v>
      </c>
      <c r="AD114" s="115">
        <f t="shared" si="30"/>
        <v>0</v>
      </c>
    </row>
    <row r="115" spans="3:30">
      <c r="C115" s="122" t="str">
        <f t="shared" ref="C115:J115" si="31">C63</f>
        <v>--</v>
      </c>
      <c r="D115" s="112">
        <f t="shared" si="31"/>
        <v>0</v>
      </c>
      <c r="E115" s="111" t="str">
        <f t="shared" si="31"/>
        <v xml:space="preserve"> </v>
      </c>
      <c r="F115" s="111" t="str">
        <f t="shared" si="31"/>
        <v xml:space="preserve"> </v>
      </c>
      <c r="G115" s="112" t="str">
        <f t="shared" si="31"/>
        <v xml:space="preserve"> </v>
      </c>
      <c r="H115" s="113" t="str">
        <f t="shared" si="31"/>
        <v xml:space="preserve"> </v>
      </c>
      <c r="I115" s="111" t="str">
        <f t="shared" si="31"/>
        <v xml:space="preserve"> </v>
      </c>
      <c r="J115" s="114" t="str">
        <f t="shared" si="31"/>
        <v xml:space="preserve"> </v>
      </c>
      <c r="K115" s="115">
        <f t="shared" ref="K115:AD115" si="32">IF(AND(ISBLANK(K63),NOT(ISBLANK(L63))),$I63,0)</f>
        <v>0</v>
      </c>
      <c r="L115" s="115">
        <f t="shared" si="32"/>
        <v>0</v>
      </c>
      <c r="M115" s="115">
        <f t="shared" si="32"/>
        <v>0</v>
      </c>
      <c r="N115" s="115">
        <f t="shared" si="32"/>
        <v>0</v>
      </c>
      <c r="O115" s="115">
        <f t="shared" si="32"/>
        <v>0</v>
      </c>
      <c r="P115" s="115">
        <f t="shared" si="32"/>
        <v>0</v>
      </c>
      <c r="Q115" s="115">
        <f t="shared" si="32"/>
        <v>0</v>
      </c>
      <c r="R115" s="115">
        <f t="shared" si="32"/>
        <v>0</v>
      </c>
      <c r="S115" s="115">
        <f t="shared" si="32"/>
        <v>0</v>
      </c>
      <c r="T115" s="115">
        <f t="shared" si="32"/>
        <v>0</v>
      </c>
      <c r="U115" s="115">
        <f t="shared" si="32"/>
        <v>0</v>
      </c>
      <c r="V115" s="115">
        <f t="shared" si="32"/>
        <v>0</v>
      </c>
      <c r="W115" s="115">
        <f t="shared" si="32"/>
        <v>0</v>
      </c>
      <c r="X115" s="115">
        <f t="shared" si="32"/>
        <v>0</v>
      </c>
      <c r="Y115" s="115">
        <f t="shared" si="32"/>
        <v>0</v>
      </c>
      <c r="Z115" s="115">
        <f t="shared" si="32"/>
        <v>0</v>
      </c>
      <c r="AA115" s="115">
        <f t="shared" si="32"/>
        <v>0</v>
      </c>
      <c r="AB115" s="115">
        <f t="shared" si="32"/>
        <v>0</v>
      </c>
      <c r="AC115" s="115">
        <f t="shared" si="32"/>
        <v>0</v>
      </c>
      <c r="AD115" s="115">
        <f t="shared" si="32"/>
        <v>0</v>
      </c>
    </row>
    <row r="116" spans="3:30">
      <c r="C116" s="122" t="str">
        <f t="shared" ref="C116:J116" si="33">C64</f>
        <v>--</v>
      </c>
      <c r="D116" s="112" t="str">
        <f t="shared" si="33"/>
        <v xml:space="preserve"> </v>
      </c>
      <c r="E116" s="111" t="str">
        <f t="shared" si="33"/>
        <v xml:space="preserve"> </v>
      </c>
      <c r="F116" s="111" t="str">
        <f t="shared" si="33"/>
        <v xml:space="preserve"> </v>
      </c>
      <c r="G116" s="112" t="str">
        <f t="shared" si="33"/>
        <v xml:space="preserve"> </v>
      </c>
      <c r="H116" s="113" t="str">
        <f t="shared" si="33"/>
        <v xml:space="preserve"> </v>
      </c>
      <c r="I116" s="111" t="str">
        <f t="shared" si="33"/>
        <v xml:space="preserve"> </v>
      </c>
      <c r="J116" s="114" t="str">
        <f t="shared" si="33"/>
        <v xml:space="preserve"> </v>
      </c>
      <c r="K116" s="115">
        <f t="shared" ref="K116:AD116" si="34">IF(AND(ISBLANK(K64),NOT(ISBLANK(L64))),$I64,0)</f>
        <v>0</v>
      </c>
      <c r="L116" s="115">
        <f t="shared" si="34"/>
        <v>0</v>
      </c>
      <c r="M116" s="115">
        <f t="shared" si="34"/>
        <v>0</v>
      </c>
      <c r="N116" s="115">
        <f t="shared" si="34"/>
        <v>0</v>
      </c>
      <c r="O116" s="115">
        <f t="shared" si="34"/>
        <v>0</v>
      </c>
      <c r="P116" s="115">
        <f t="shared" si="34"/>
        <v>0</v>
      </c>
      <c r="Q116" s="115">
        <f t="shared" si="34"/>
        <v>0</v>
      </c>
      <c r="R116" s="115">
        <f t="shared" si="34"/>
        <v>0</v>
      </c>
      <c r="S116" s="115">
        <f t="shared" si="34"/>
        <v>0</v>
      </c>
      <c r="T116" s="115">
        <f t="shared" si="34"/>
        <v>0</v>
      </c>
      <c r="U116" s="115">
        <f t="shared" si="34"/>
        <v>0</v>
      </c>
      <c r="V116" s="115">
        <f t="shared" si="34"/>
        <v>0</v>
      </c>
      <c r="W116" s="115">
        <f t="shared" si="34"/>
        <v>0</v>
      </c>
      <c r="X116" s="115">
        <f t="shared" si="34"/>
        <v>0</v>
      </c>
      <c r="Y116" s="115">
        <f t="shared" si="34"/>
        <v>0</v>
      </c>
      <c r="Z116" s="115">
        <f t="shared" si="34"/>
        <v>0</v>
      </c>
      <c r="AA116" s="115">
        <f t="shared" si="34"/>
        <v>0</v>
      </c>
      <c r="AB116" s="115">
        <f t="shared" si="34"/>
        <v>0</v>
      </c>
      <c r="AC116" s="115">
        <f t="shared" si="34"/>
        <v>0</v>
      </c>
      <c r="AD116" s="115">
        <f t="shared" si="34"/>
        <v>0</v>
      </c>
    </row>
    <row r="117" spans="3:30">
      <c r="C117" s="122" t="str">
        <f t="shared" ref="C117:J117" si="35">C65</f>
        <v>--</v>
      </c>
      <c r="D117" s="112" t="str">
        <f t="shared" si="35"/>
        <v xml:space="preserve"> </v>
      </c>
      <c r="E117" s="111" t="str">
        <f t="shared" si="35"/>
        <v xml:space="preserve"> </v>
      </c>
      <c r="F117" s="111" t="str">
        <f t="shared" si="35"/>
        <v xml:space="preserve"> </v>
      </c>
      <c r="G117" s="112" t="str">
        <f t="shared" si="35"/>
        <v xml:space="preserve"> </v>
      </c>
      <c r="H117" s="113" t="str">
        <f t="shared" si="35"/>
        <v xml:space="preserve"> </v>
      </c>
      <c r="I117" s="111" t="str">
        <f t="shared" si="35"/>
        <v xml:space="preserve"> </v>
      </c>
      <c r="J117" s="114" t="str">
        <f t="shared" si="35"/>
        <v xml:space="preserve"> </v>
      </c>
      <c r="K117" s="115">
        <f t="shared" ref="K117:AD117" si="36">IF(AND(ISBLANK(K65),NOT(ISBLANK(L65))),$I65,0)</f>
        <v>0</v>
      </c>
      <c r="L117" s="115">
        <f t="shared" si="36"/>
        <v>0</v>
      </c>
      <c r="M117" s="115">
        <f t="shared" si="36"/>
        <v>0</v>
      </c>
      <c r="N117" s="115">
        <f t="shared" si="36"/>
        <v>0</v>
      </c>
      <c r="O117" s="115">
        <f t="shared" si="36"/>
        <v>0</v>
      </c>
      <c r="P117" s="115">
        <f t="shared" si="36"/>
        <v>0</v>
      </c>
      <c r="Q117" s="115">
        <f t="shared" si="36"/>
        <v>0</v>
      </c>
      <c r="R117" s="115">
        <f t="shared" si="36"/>
        <v>0</v>
      </c>
      <c r="S117" s="115">
        <f t="shared" si="36"/>
        <v>0</v>
      </c>
      <c r="T117" s="115">
        <f t="shared" si="36"/>
        <v>0</v>
      </c>
      <c r="U117" s="115">
        <f t="shared" si="36"/>
        <v>0</v>
      </c>
      <c r="V117" s="115">
        <f t="shared" si="36"/>
        <v>0</v>
      </c>
      <c r="W117" s="115">
        <f t="shared" si="36"/>
        <v>0</v>
      </c>
      <c r="X117" s="115">
        <f t="shared" si="36"/>
        <v>0</v>
      </c>
      <c r="Y117" s="115">
        <f t="shared" si="36"/>
        <v>0</v>
      </c>
      <c r="Z117" s="115">
        <f t="shared" si="36"/>
        <v>0</v>
      </c>
      <c r="AA117" s="115">
        <f t="shared" si="36"/>
        <v>0</v>
      </c>
      <c r="AB117" s="115">
        <f t="shared" si="36"/>
        <v>0</v>
      </c>
      <c r="AC117" s="115">
        <f t="shared" si="36"/>
        <v>0</v>
      </c>
      <c r="AD117" s="115">
        <f t="shared" si="36"/>
        <v>0</v>
      </c>
    </row>
    <row r="118" spans="3:30">
      <c r="C118" s="122" t="str">
        <f t="shared" ref="C118:J118" si="37">C66</f>
        <v>--</v>
      </c>
      <c r="D118" s="112" t="str">
        <f t="shared" si="37"/>
        <v xml:space="preserve"> </v>
      </c>
      <c r="E118" s="111" t="str">
        <f t="shared" si="37"/>
        <v xml:space="preserve"> </v>
      </c>
      <c r="F118" s="111" t="str">
        <f t="shared" si="37"/>
        <v xml:space="preserve"> </v>
      </c>
      <c r="G118" s="112" t="str">
        <f t="shared" si="37"/>
        <v xml:space="preserve"> </v>
      </c>
      <c r="H118" s="113" t="str">
        <f t="shared" si="37"/>
        <v xml:space="preserve"> </v>
      </c>
      <c r="I118" s="111" t="str">
        <f t="shared" si="37"/>
        <v xml:space="preserve"> </v>
      </c>
      <c r="J118" s="114" t="str">
        <f t="shared" si="37"/>
        <v xml:space="preserve"> </v>
      </c>
      <c r="K118" s="115">
        <f t="shared" ref="K118:AD118" si="38">IF(AND(ISBLANK(K66),NOT(ISBLANK(L66))),$I66,0)</f>
        <v>0</v>
      </c>
      <c r="L118" s="115">
        <f t="shared" si="38"/>
        <v>0</v>
      </c>
      <c r="M118" s="115">
        <f t="shared" si="38"/>
        <v>0</v>
      </c>
      <c r="N118" s="115">
        <f t="shared" si="38"/>
        <v>0</v>
      </c>
      <c r="O118" s="115">
        <f t="shared" si="38"/>
        <v>0</v>
      </c>
      <c r="P118" s="115">
        <f t="shared" si="38"/>
        <v>0</v>
      </c>
      <c r="Q118" s="115">
        <f t="shared" si="38"/>
        <v>0</v>
      </c>
      <c r="R118" s="115">
        <f t="shared" si="38"/>
        <v>0</v>
      </c>
      <c r="S118" s="115">
        <f t="shared" si="38"/>
        <v>0</v>
      </c>
      <c r="T118" s="115">
        <f t="shared" si="38"/>
        <v>0</v>
      </c>
      <c r="U118" s="115">
        <f t="shared" si="38"/>
        <v>0</v>
      </c>
      <c r="V118" s="115">
        <f t="shared" si="38"/>
        <v>0</v>
      </c>
      <c r="W118" s="115">
        <f t="shared" si="38"/>
        <v>0</v>
      </c>
      <c r="X118" s="115">
        <f t="shared" si="38"/>
        <v>0</v>
      </c>
      <c r="Y118" s="115">
        <f t="shared" si="38"/>
        <v>0</v>
      </c>
      <c r="Z118" s="115">
        <f t="shared" si="38"/>
        <v>0</v>
      </c>
      <c r="AA118" s="115">
        <f t="shared" si="38"/>
        <v>0</v>
      </c>
      <c r="AB118" s="115">
        <f t="shared" si="38"/>
        <v>0</v>
      </c>
      <c r="AC118" s="115">
        <f t="shared" si="38"/>
        <v>0</v>
      </c>
      <c r="AD118" s="115">
        <f t="shared" si="38"/>
        <v>0</v>
      </c>
    </row>
    <row r="119" spans="3:30">
      <c r="C119" s="122" t="str">
        <f t="shared" ref="C119:J119" si="39">C67</f>
        <v>--</v>
      </c>
      <c r="D119" s="112" t="str">
        <f t="shared" si="39"/>
        <v xml:space="preserve"> </v>
      </c>
      <c r="E119" s="111" t="str">
        <f t="shared" si="39"/>
        <v xml:space="preserve"> </v>
      </c>
      <c r="F119" s="111" t="str">
        <f t="shared" si="39"/>
        <v xml:space="preserve"> </v>
      </c>
      <c r="G119" s="112" t="str">
        <f t="shared" si="39"/>
        <v xml:space="preserve"> </v>
      </c>
      <c r="H119" s="113" t="str">
        <f t="shared" si="39"/>
        <v xml:space="preserve"> </v>
      </c>
      <c r="I119" s="111" t="str">
        <f t="shared" si="39"/>
        <v xml:space="preserve"> </v>
      </c>
      <c r="J119" s="114" t="str">
        <f t="shared" si="39"/>
        <v xml:space="preserve"> </v>
      </c>
      <c r="K119" s="115">
        <f t="shared" ref="K119:AD119" si="40">IF(AND(ISBLANK(K67),NOT(ISBLANK(L67))),$I67,0)</f>
        <v>0</v>
      </c>
      <c r="L119" s="115">
        <f t="shared" si="40"/>
        <v>0</v>
      </c>
      <c r="M119" s="115">
        <f t="shared" si="40"/>
        <v>0</v>
      </c>
      <c r="N119" s="115">
        <f t="shared" si="40"/>
        <v>0</v>
      </c>
      <c r="O119" s="115">
        <f t="shared" si="40"/>
        <v>0</v>
      </c>
      <c r="P119" s="115">
        <f t="shared" si="40"/>
        <v>0</v>
      </c>
      <c r="Q119" s="115">
        <f t="shared" si="40"/>
        <v>0</v>
      </c>
      <c r="R119" s="115">
        <f t="shared" si="40"/>
        <v>0</v>
      </c>
      <c r="S119" s="115">
        <f t="shared" si="40"/>
        <v>0</v>
      </c>
      <c r="T119" s="115">
        <f t="shared" si="40"/>
        <v>0</v>
      </c>
      <c r="U119" s="115">
        <f t="shared" si="40"/>
        <v>0</v>
      </c>
      <c r="V119" s="115">
        <f t="shared" si="40"/>
        <v>0</v>
      </c>
      <c r="W119" s="115">
        <f t="shared" si="40"/>
        <v>0</v>
      </c>
      <c r="X119" s="115">
        <f t="shared" si="40"/>
        <v>0</v>
      </c>
      <c r="Y119" s="115">
        <f t="shared" si="40"/>
        <v>0</v>
      </c>
      <c r="Z119" s="115">
        <f t="shared" si="40"/>
        <v>0</v>
      </c>
      <c r="AA119" s="115">
        <f t="shared" si="40"/>
        <v>0</v>
      </c>
      <c r="AB119" s="115">
        <f t="shared" si="40"/>
        <v>0</v>
      </c>
      <c r="AC119" s="115">
        <f t="shared" si="40"/>
        <v>0</v>
      </c>
      <c r="AD119" s="115">
        <f t="shared" si="40"/>
        <v>0</v>
      </c>
    </row>
    <row r="120" spans="3:30">
      <c r="C120" s="122" t="str">
        <f t="shared" ref="C120:J120" si="41">C68</f>
        <v>--</v>
      </c>
      <c r="D120" s="112" t="str">
        <f t="shared" si="41"/>
        <v xml:space="preserve"> </v>
      </c>
      <c r="E120" s="111" t="str">
        <f t="shared" si="41"/>
        <v xml:space="preserve"> </v>
      </c>
      <c r="F120" s="111" t="str">
        <f t="shared" si="41"/>
        <v xml:space="preserve"> </v>
      </c>
      <c r="G120" s="112" t="str">
        <f t="shared" si="41"/>
        <v xml:space="preserve"> </v>
      </c>
      <c r="H120" s="113" t="str">
        <f t="shared" si="41"/>
        <v xml:space="preserve"> </v>
      </c>
      <c r="I120" s="111" t="str">
        <f t="shared" si="41"/>
        <v xml:space="preserve"> </v>
      </c>
      <c r="J120" s="114" t="str">
        <f t="shared" si="41"/>
        <v xml:space="preserve"> </v>
      </c>
      <c r="K120" s="115">
        <f t="shared" ref="K120:AD120" si="42">IF(AND(ISBLANK(K68),NOT(ISBLANK(L68))),$I68,0)</f>
        <v>0</v>
      </c>
      <c r="L120" s="115">
        <f t="shared" si="42"/>
        <v>0</v>
      </c>
      <c r="M120" s="115">
        <f t="shared" si="42"/>
        <v>0</v>
      </c>
      <c r="N120" s="115">
        <f t="shared" si="42"/>
        <v>0</v>
      </c>
      <c r="O120" s="115">
        <f t="shared" si="42"/>
        <v>0</v>
      </c>
      <c r="P120" s="115">
        <f t="shared" si="42"/>
        <v>0</v>
      </c>
      <c r="Q120" s="115">
        <f t="shared" si="42"/>
        <v>0</v>
      </c>
      <c r="R120" s="115">
        <f t="shared" si="42"/>
        <v>0</v>
      </c>
      <c r="S120" s="115">
        <f t="shared" si="42"/>
        <v>0</v>
      </c>
      <c r="T120" s="115">
        <f t="shared" si="42"/>
        <v>0</v>
      </c>
      <c r="U120" s="115">
        <f t="shared" si="42"/>
        <v>0</v>
      </c>
      <c r="V120" s="115">
        <f t="shared" si="42"/>
        <v>0</v>
      </c>
      <c r="W120" s="115">
        <f t="shared" si="42"/>
        <v>0</v>
      </c>
      <c r="X120" s="115">
        <f t="shared" si="42"/>
        <v>0</v>
      </c>
      <c r="Y120" s="115">
        <f t="shared" si="42"/>
        <v>0</v>
      </c>
      <c r="Z120" s="115">
        <f t="shared" si="42"/>
        <v>0</v>
      </c>
      <c r="AA120" s="115">
        <f t="shared" si="42"/>
        <v>0</v>
      </c>
      <c r="AB120" s="115">
        <f t="shared" si="42"/>
        <v>0</v>
      </c>
      <c r="AC120" s="115">
        <f t="shared" si="42"/>
        <v>0</v>
      </c>
      <c r="AD120" s="115">
        <f t="shared" si="42"/>
        <v>0</v>
      </c>
    </row>
    <row r="121" spans="3:30">
      <c r="C121" s="122" t="str">
        <f t="shared" ref="C121:J121" si="43">C69</f>
        <v>--</v>
      </c>
      <c r="D121" s="112" t="str">
        <f t="shared" si="43"/>
        <v xml:space="preserve"> </v>
      </c>
      <c r="E121" s="111" t="str">
        <f t="shared" si="43"/>
        <v xml:space="preserve"> </v>
      </c>
      <c r="F121" s="111" t="str">
        <f t="shared" si="43"/>
        <v xml:space="preserve"> </v>
      </c>
      <c r="G121" s="112" t="str">
        <f t="shared" si="43"/>
        <v xml:space="preserve"> </v>
      </c>
      <c r="H121" s="113" t="str">
        <f t="shared" si="43"/>
        <v xml:space="preserve"> </v>
      </c>
      <c r="I121" s="111" t="str">
        <f t="shared" si="43"/>
        <v xml:space="preserve"> </v>
      </c>
      <c r="J121" s="114" t="str">
        <f t="shared" si="43"/>
        <v xml:space="preserve"> </v>
      </c>
      <c r="K121" s="115">
        <f t="shared" ref="K121:AD121" si="44">IF(AND(ISBLANK(K69),NOT(ISBLANK(L69))),$I69,0)</f>
        <v>0</v>
      </c>
      <c r="L121" s="115">
        <f t="shared" si="44"/>
        <v>0</v>
      </c>
      <c r="M121" s="115">
        <f t="shared" si="44"/>
        <v>0</v>
      </c>
      <c r="N121" s="115">
        <f t="shared" si="44"/>
        <v>0</v>
      </c>
      <c r="O121" s="115">
        <f t="shared" si="44"/>
        <v>0</v>
      </c>
      <c r="P121" s="115">
        <f t="shared" si="44"/>
        <v>0</v>
      </c>
      <c r="Q121" s="115">
        <f t="shared" si="44"/>
        <v>0</v>
      </c>
      <c r="R121" s="115">
        <f t="shared" si="44"/>
        <v>0</v>
      </c>
      <c r="S121" s="115">
        <f t="shared" si="44"/>
        <v>0</v>
      </c>
      <c r="T121" s="115">
        <f t="shared" si="44"/>
        <v>0</v>
      </c>
      <c r="U121" s="115">
        <f t="shared" si="44"/>
        <v>0</v>
      </c>
      <c r="V121" s="115">
        <f t="shared" si="44"/>
        <v>0</v>
      </c>
      <c r="W121" s="115">
        <f t="shared" si="44"/>
        <v>0</v>
      </c>
      <c r="X121" s="115">
        <f t="shared" si="44"/>
        <v>0</v>
      </c>
      <c r="Y121" s="115">
        <f t="shared" si="44"/>
        <v>0</v>
      </c>
      <c r="Z121" s="115">
        <f t="shared" si="44"/>
        <v>0</v>
      </c>
      <c r="AA121" s="115">
        <f t="shared" si="44"/>
        <v>0</v>
      </c>
      <c r="AB121" s="115">
        <f t="shared" si="44"/>
        <v>0</v>
      </c>
      <c r="AC121" s="115">
        <f t="shared" si="44"/>
        <v>0</v>
      </c>
      <c r="AD121" s="115">
        <f t="shared" si="44"/>
        <v>0</v>
      </c>
    </row>
    <row r="122" spans="3:30">
      <c r="C122" s="122" t="str">
        <f t="shared" ref="C122:J122" si="45">C70</f>
        <v>--</v>
      </c>
      <c r="D122" s="112" t="str">
        <f t="shared" si="45"/>
        <v xml:space="preserve"> </v>
      </c>
      <c r="E122" s="111" t="str">
        <f t="shared" si="45"/>
        <v xml:space="preserve"> </v>
      </c>
      <c r="F122" s="111" t="str">
        <f t="shared" si="45"/>
        <v xml:space="preserve"> </v>
      </c>
      <c r="G122" s="112" t="str">
        <f t="shared" si="45"/>
        <v xml:space="preserve"> </v>
      </c>
      <c r="H122" s="113" t="str">
        <f t="shared" si="45"/>
        <v xml:space="preserve"> </v>
      </c>
      <c r="I122" s="111" t="str">
        <f t="shared" si="45"/>
        <v xml:space="preserve"> </v>
      </c>
      <c r="J122" s="114" t="str">
        <f t="shared" si="45"/>
        <v xml:space="preserve"> </v>
      </c>
      <c r="K122" s="115">
        <f t="shared" ref="K122:AD122" si="46">IF(AND(ISBLANK(K70),NOT(ISBLANK(L70))),$I70,0)</f>
        <v>0</v>
      </c>
      <c r="L122" s="115">
        <f t="shared" si="46"/>
        <v>0</v>
      </c>
      <c r="M122" s="115">
        <f t="shared" si="46"/>
        <v>0</v>
      </c>
      <c r="N122" s="115">
        <f t="shared" si="46"/>
        <v>0</v>
      </c>
      <c r="O122" s="115">
        <f t="shared" si="46"/>
        <v>0</v>
      </c>
      <c r="P122" s="115">
        <f t="shared" si="46"/>
        <v>0</v>
      </c>
      <c r="Q122" s="115">
        <f t="shared" si="46"/>
        <v>0</v>
      </c>
      <c r="R122" s="115">
        <f t="shared" si="46"/>
        <v>0</v>
      </c>
      <c r="S122" s="115">
        <f t="shared" si="46"/>
        <v>0</v>
      </c>
      <c r="T122" s="115">
        <f t="shared" si="46"/>
        <v>0</v>
      </c>
      <c r="U122" s="115">
        <f t="shared" si="46"/>
        <v>0</v>
      </c>
      <c r="V122" s="115">
        <f t="shared" si="46"/>
        <v>0</v>
      </c>
      <c r="W122" s="115">
        <f t="shared" si="46"/>
        <v>0</v>
      </c>
      <c r="X122" s="115">
        <f t="shared" si="46"/>
        <v>0</v>
      </c>
      <c r="Y122" s="115">
        <f t="shared" si="46"/>
        <v>0</v>
      </c>
      <c r="Z122" s="115">
        <f t="shared" si="46"/>
        <v>0</v>
      </c>
      <c r="AA122" s="115">
        <f t="shared" si="46"/>
        <v>0</v>
      </c>
      <c r="AB122" s="115">
        <f t="shared" si="46"/>
        <v>0</v>
      </c>
      <c r="AC122" s="115">
        <f t="shared" si="46"/>
        <v>0</v>
      </c>
      <c r="AD122" s="115">
        <f t="shared" si="46"/>
        <v>0</v>
      </c>
    </row>
    <row r="123" spans="3:30" ht="15" customHeight="1">
      <c r="C123" s="122" t="str">
        <f t="shared" ref="C123:J123" si="47">C71</f>
        <v>--</v>
      </c>
      <c r="D123" s="112" t="str">
        <f t="shared" si="47"/>
        <v xml:space="preserve"> </v>
      </c>
      <c r="E123" s="111" t="str">
        <f t="shared" si="47"/>
        <v xml:space="preserve"> </v>
      </c>
      <c r="F123" s="111" t="str">
        <f t="shared" si="47"/>
        <v xml:space="preserve"> </v>
      </c>
      <c r="G123" s="112" t="str">
        <f t="shared" si="47"/>
        <v xml:space="preserve"> </v>
      </c>
      <c r="H123" s="113" t="str">
        <f t="shared" si="47"/>
        <v xml:space="preserve"> </v>
      </c>
      <c r="I123" s="111" t="str">
        <f t="shared" si="47"/>
        <v xml:space="preserve"> </v>
      </c>
      <c r="J123" s="114" t="str">
        <f t="shared" si="47"/>
        <v xml:space="preserve"> </v>
      </c>
      <c r="K123" s="115">
        <f t="shared" ref="K123:AD123" si="48">IF(AND(ISBLANK(K71),NOT(ISBLANK(L71))),$I71,0)</f>
        <v>0</v>
      </c>
      <c r="L123" s="115">
        <f t="shared" si="48"/>
        <v>0</v>
      </c>
      <c r="M123" s="115">
        <f t="shared" si="48"/>
        <v>0</v>
      </c>
      <c r="N123" s="115">
        <f t="shared" si="48"/>
        <v>0</v>
      </c>
      <c r="O123" s="115">
        <f t="shared" si="48"/>
        <v>0</v>
      </c>
      <c r="P123" s="115">
        <f t="shared" si="48"/>
        <v>0</v>
      </c>
      <c r="Q123" s="115">
        <f t="shared" si="48"/>
        <v>0</v>
      </c>
      <c r="R123" s="115">
        <f t="shared" si="48"/>
        <v>0</v>
      </c>
      <c r="S123" s="115">
        <f t="shared" si="48"/>
        <v>0</v>
      </c>
      <c r="T123" s="115">
        <f t="shared" si="48"/>
        <v>0</v>
      </c>
      <c r="U123" s="115">
        <f t="shared" si="48"/>
        <v>0</v>
      </c>
      <c r="V123" s="115">
        <f t="shared" si="48"/>
        <v>0</v>
      </c>
      <c r="W123" s="115">
        <f t="shared" si="48"/>
        <v>0</v>
      </c>
      <c r="X123" s="115">
        <f t="shared" si="48"/>
        <v>0</v>
      </c>
      <c r="Y123" s="115">
        <f t="shared" si="48"/>
        <v>0</v>
      </c>
      <c r="Z123" s="115">
        <f t="shared" si="48"/>
        <v>0</v>
      </c>
      <c r="AA123" s="115">
        <f t="shared" si="48"/>
        <v>0</v>
      </c>
      <c r="AB123" s="115">
        <f t="shared" si="48"/>
        <v>0</v>
      </c>
      <c r="AC123" s="115">
        <f t="shared" si="48"/>
        <v>0</v>
      </c>
      <c r="AD123" s="115">
        <f t="shared" si="48"/>
        <v>0</v>
      </c>
    </row>
    <row r="124" spans="3:30">
      <c r="C124" s="122" t="str">
        <f t="shared" ref="C124:J124" si="49">C72</f>
        <v>--</v>
      </c>
      <c r="D124" s="112" t="str">
        <f t="shared" si="49"/>
        <v xml:space="preserve"> </v>
      </c>
      <c r="E124" s="111" t="str">
        <f t="shared" si="49"/>
        <v xml:space="preserve"> </v>
      </c>
      <c r="F124" s="111" t="str">
        <f t="shared" si="49"/>
        <v xml:space="preserve"> </v>
      </c>
      <c r="G124" s="112" t="str">
        <f t="shared" si="49"/>
        <v xml:space="preserve"> </v>
      </c>
      <c r="H124" s="113" t="str">
        <f t="shared" si="49"/>
        <v xml:space="preserve"> </v>
      </c>
      <c r="I124" s="111" t="str">
        <f t="shared" si="49"/>
        <v xml:space="preserve"> </v>
      </c>
      <c r="J124" s="114" t="str">
        <f t="shared" si="49"/>
        <v xml:space="preserve"> </v>
      </c>
      <c r="K124" s="115">
        <f t="shared" ref="K124:AD124" si="50">IF(AND(ISBLANK(K72),NOT(ISBLANK(L72))),$I72,0)</f>
        <v>0</v>
      </c>
      <c r="L124" s="115">
        <f t="shared" si="50"/>
        <v>0</v>
      </c>
      <c r="M124" s="115">
        <f t="shared" si="50"/>
        <v>0</v>
      </c>
      <c r="N124" s="115">
        <f t="shared" si="50"/>
        <v>0</v>
      </c>
      <c r="O124" s="115">
        <f t="shared" si="50"/>
        <v>0</v>
      </c>
      <c r="P124" s="115">
        <f t="shared" si="50"/>
        <v>0</v>
      </c>
      <c r="Q124" s="115">
        <f t="shared" si="50"/>
        <v>0</v>
      </c>
      <c r="R124" s="115">
        <f t="shared" si="50"/>
        <v>0</v>
      </c>
      <c r="S124" s="115">
        <f t="shared" si="50"/>
        <v>0</v>
      </c>
      <c r="T124" s="115">
        <f t="shared" si="50"/>
        <v>0</v>
      </c>
      <c r="U124" s="115">
        <f t="shared" si="50"/>
        <v>0</v>
      </c>
      <c r="V124" s="115">
        <f t="shared" si="50"/>
        <v>0</v>
      </c>
      <c r="W124" s="115">
        <f t="shared" si="50"/>
        <v>0</v>
      </c>
      <c r="X124" s="115">
        <f t="shared" si="50"/>
        <v>0</v>
      </c>
      <c r="Y124" s="115">
        <f t="shared" si="50"/>
        <v>0</v>
      </c>
      <c r="Z124" s="115">
        <f t="shared" si="50"/>
        <v>0</v>
      </c>
      <c r="AA124" s="115">
        <f t="shared" si="50"/>
        <v>0</v>
      </c>
      <c r="AB124" s="115">
        <f t="shared" si="50"/>
        <v>0</v>
      </c>
      <c r="AC124" s="115">
        <f t="shared" si="50"/>
        <v>0</v>
      </c>
      <c r="AD124" s="115">
        <f t="shared" si="50"/>
        <v>0</v>
      </c>
    </row>
    <row r="151" spans="3:30">
      <c r="G151" s="25"/>
      <c r="I151" s="105"/>
      <c r="K151" s="127">
        <v>2024</v>
      </c>
      <c r="L151" s="127">
        <v>2024.25</v>
      </c>
      <c r="M151" s="127">
        <v>2024.5</v>
      </c>
      <c r="N151" s="127">
        <v>2024.75</v>
      </c>
      <c r="O151" s="127">
        <v>2025</v>
      </c>
      <c r="P151" s="127">
        <v>2025.25</v>
      </c>
      <c r="Q151" s="127">
        <f t="shared" ref="Q151:AD151" si="51">P151+0.25</f>
        <v>2025.5</v>
      </c>
      <c r="R151" s="127">
        <f t="shared" si="51"/>
        <v>2025.75</v>
      </c>
      <c r="S151" s="127">
        <f t="shared" si="51"/>
        <v>2026</v>
      </c>
      <c r="T151" s="127">
        <f t="shared" si="51"/>
        <v>2026.25</v>
      </c>
      <c r="U151" s="127">
        <f t="shared" si="51"/>
        <v>2026.5</v>
      </c>
      <c r="V151" s="127">
        <f t="shared" si="51"/>
        <v>2026.75</v>
      </c>
      <c r="W151" s="127">
        <f t="shared" si="51"/>
        <v>2027</v>
      </c>
      <c r="X151" s="127">
        <f t="shared" si="51"/>
        <v>2027.25</v>
      </c>
      <c r="Y151" s="127">
        <f t="shared" si="51"/>
        <v>2027.5</v>
      </c>
      <c r="Z151" s="127">
        <f t="shared" si="51"/>
        <v>2027.75</v>
      </c>
      <c r="AA151" s="127">
        <f t="shared" si="51"/>
        <v>2028</v>
      </c>
      <c r="AB151" s="127">
        <f t="shared" si="51"/>
        <v>2028.25</v>
      </c>
      <c r="AC151" s="127">
        <f t="shared" si="51"/>
        <v>2028.5</v>
      </c>
      <c r="AD151" s="127">
        <f t="shared" si="51"/>
        <v>2028.75</v>
      </c>
    </row>
    <row r="152" spans="3:30">
      <c r="G152" s="25"/>
      <c r="I152" s="105"/>
      <c r="J152" s="128" t="s">
        <v>26</v>
      </c>
      <c r="K152" s="4">
        <f t="shared" ref="K152:T155" si="52">SUMIF($F$156:$F$176,$J152,K$156:K$176)</f>
        <v>0</v>
      </c>
      <c r="L152" s="4">
        <f t="shared" si="52"/>
        <v>0</v>
      </c>
      <c r="M152" s="4">
        <f t="shared" si="52"/>
        <v>64</v>
      </c>
      <c r="N152" s="4">
        <f t="shared" si="52"/>
        <v>64</v>
      </c>
      <c r="O152" s="4">
        <f t="shared" si="52"/>
        <v>64</v>
      </c>
      <c r="P152" s="4">
        <f t="shared" si="52"/>
        <v>64</v>
      </c>
      <c r="Q152" s="4">
        <f t="shared" si="52"/>
        <v>64</v>
      </c>
      <c r="R152" s="4">
        <f t="shared" si="52"/>
        <v>64</v>
      </c>
      <c r="S152" s="4">
        <f t="shared" si="52"/>
        <v>64</v>
      </c>
      <c r="T152" s="4">
        <f t="shared" si="52"/>
        <v>64</v>
      </c>
      <c r="U152" s="4">
        <f t="shared" ref="U152:AD155" si="53">SUMIF($F$156:$F$176,$J152,U$156:U$176)</f>
        <v>64</v>
      </c>
      <c r="V152" s="4">
        <f t="shared" si="53"/>
        <v>64</v>
      </c>
      <c r="W152" s="4">
        <f t="shared" si="53"/>
        <v>64</v>
      </c>
      <c r="X152" s="4">
        <f t="shared" si="53"/>
        <v>64</v>
      </c>
      <c r="Y152" s="4">
        <f t="shared" si="53"/>
        <v>64</v>
      </c>
      <c r="Z152" s="4">
        <f t="shared" si="53"/>
        <v>64</v>
      </c>
      <c r="AA152" s="4">
        <f t="shared" si="53"/>
        <v>64</v>
      </c>
      <c r="AB152" s="4">
        <f t="shared" si="53"/>
        <v>64</v>
      </c>
      <c r="AC152" s="4">
        <f t="shared" si="53"/>
        <v>64</v>
      </c>
      <c r="AD152" s="4">
        <f t="shared" si="53"/>
        <v>64</v>
      </c>
    </row>
    <row r="153" spans="3:30">
      <c r="G153" s="25"/>
      <c r="I153" s="105"/>
      <c r="J153" s="128" t="s">
        <v>27</v>
      </c>
      <c r="K153" s="4">
        <f t="shared" si="52"/>
        <v>4864</v>
      </c>
      <c r="L153" s="4">
        <f t="shared" si="52"/>
        <v>4864</v>
      </c>
      <c r="M153" s="4">
        <f t="shared" si="52"/>
        <v>9984</v>
      </c>
      <c r="N153" s="4">
        <f t="shared" si="52"/>
        <v>9984</v>
      </c>
      <c r="O153" s="4">
        <f t="shared" si="52"/>
        <v>9984</v>
      </c>
      <c r="P153" s="4">
        <f t="shared" si="52"/>
        <v>9984</v>
      </c>
      <c r="Q153" s="4">
        <f t="shared" si="52"/>
        <v>9984</v>
      </c>
      <c r="R153" s="4">
        <f t="shared" si="52"/>
        <v>9984</v>
      </c>
      <c r="S153" s="4">
        <f t="shared" si="52"/>
        <v>9984</v>
      </c>
      <c r="T153" s="4">
        <f t="shared" si="52"/>
        <v>9984</v>
      </c>
      <c r="U153" s="4">
        <f t="shared" si="53"/>
        <v>9984</v>
      </c>
      <c r="V153" s="4">
        <f t="shared" si="53"/>
        <v>9984</v>
      </c>
      <c r="W153" s="4">
        <f t="shared" si="53"/>
        <v>9984</v>
      </c>
      <c r="X153" s="4">
        <f t="shared" si="53"/>
        <v>9984</v>
      </c>
      <c r="Y153" s="4">
        <f t="shared" si="53"/>
        <v>9984</v>
      </c>
      <c r="Z153" s="4">
        <f t="shared" si="53"/>
        <v>9984</v>
      </c>
      <c r="AA153" s="4">
        <f t="shared" si="53"/>
        <v>9984</v>
      </c>
      <c r="AB153" s="4">
        <f t="shared" si="53"/>
        <v>9984</v>
      </c>
      <c r="AC153" s="4">
        <f t="shared" si="53"/>
        <v>9984</v>
      </c>
      <c r="AD153" s="4">
        <f t="shared" si="53"/>
        <v>9984</v>
      </c>
    </row>
    <row r="154" spans="3:30">
      <c r="G154" s="25"/>
      <c r="I154" s="105"/>
      <c r="J154" s="128" t="s">
        <v>29</v>
      </c>
      <c r="K154" s="4">
        <f t="shared" si="52"/>
        <v>14.840000000000002</v>
      </c>
      <c r="L154" s="4">
        <f t="shared" si="52"/>
        <v>14.840000000000002</v>
      </c>
      <c r="M154" s="4">
        <f t="shared" si="52"/>
        <v>23.32</v>
      </c>
      <c r="N154" s="4">
        <f t="shared" si="52"/>
        <v>23.32</v>
      </c>
      <c r="O154" s="4">
        <f t="shared" si="52"/>
        <v>23.32</v>
      </c>
      <c r="P154" s="4">
        <f t="shared" si="52"/>
        <v>23.32</v>
      </c>
      <c r="Q154" s="4">
        <f t="shared" si="52"/>
        <v>23.32</v>
      </c>
      <c r="R154" s="4">
        <f t="shared" si="52"/>
        <v>86.92</v>
      </c>
      <c r="S154" s="4">
        <f t="shared" si="52"/>
        <v>86.92</v>
      </c>
      <c r="T154" s="4">
        <f t="shared" si="52"/>
        <v>86.92</v>
      </c>
      <c r="U154" s="4">
        <f t="shared" si="53"/>
        <v>86.92</v>
      </c>
      <c r="V154" s="4">
        <f t="shared" si="53"/>
        <v>86.92</v>
      </c>
      <c r="W154" s="4">
        <f t="shared" si="53"/>
        <v>86.92</v>
      </c>
      <c r="X154" s="4">
        <f t="shared" si="53"/>
        <v>86.92</v>
      </c>
      <c r="Y154" s="4">
        <f t="shared" si="53"/>
        <v>86.92</v>
      </c>
      <c r="Z154" s="4">
        <f t="shared" si="53"/>
        <v>86.92</v>
      </c>
      <c r="AA154" s="4">
        <f t="shared" si="53"/>
        <v>86.92</v>
      </c>
      <c r="AB154" s="4">
        <f t="shared" si="53"/>
        <v>86.92</v>
      </c>
      <c r="AC154" s="4">
        <f t="shared" si="53"/>
        <v>86.92</v>
      </c>
      <c r="AD154" s="4">
        <f t="shared" si="53"/>
        <v>86.92</v>
      </c>
    </row>
    <row r="155" spans="3:30">
      <c r="G155" s="25"/>
      <c r="I155" s="105"/>
      <c r="J155" s="128" t="s">
        <v>30</v>
      </c>
      <c r="K155" s="4">
        <f t="shared" si="52"/>
        <v>0</v>
      </c>
      <c r="L155" s="4">
        <f t="shared" si="52"/>
        <v>0</v>
      </c>
      <c r="M155" s="4">
        <f t="shared" si="52"/>
        <v>0</v>
      </c>
      <c r="N155" s="4">
        <f t="shared" si="52"/>
        <v>0</v>
      </c>
      <c r="O155" s="4">
        <f t="shared" si="52"/>
        <v>0</v>
      </c>
      <c r="P155" s="4">
        <f t="shared" si="52"/>
        <v>0</v>
      </c>
      <c r="Q155" s="4">
        <f t="shared" si="52"/>
        <v>0</v>
      </c>
      <c r="R155" s="4">
        <f t="shared" si="52"/>
        <v>0</v>
      </c>
      <c r="S155" s="4">
        <f t="shared" si="52"/>
        <v>0</v>
      </c>
      <c r="T155" s="4">
        <f t="shared" si="52"/>
        <v>0</v>
      </c>
      <c r="U155" s="4">
        <f t="shared" si="53"/>
        <v>0</v>
      </c>
      <c r="V155" s="4">
        <f t="shared" si="53"/>
        <v>0</v>
      </c>
      <c r="W155" s="4">
        <f t="shared" si="53"/>
        <v>0</v>
      </c>
      <c r="X155" s="4">
        <f t="shared" si="53"/>
        <v>0</v>
      </c>
      <c r="Y155" s="4">
        <f t="shared" si="53"/>
        <v>0</v>
      </c>
      <c r="Z155" s="4">
        <f t="shared" si="53"/>
        <v>0</v>
      </c>
      <c r="AA155" s="4">
        <f t="shared" si="53"/>
        <v>0</v>
      </c>
      <c r="AB155" s="4">
        <f t="shared" si="53"/>
        <v>0</v>
      </c>
      <c r="AC155" s="4">
        <f t="shared" si="53"/>
        <v>0</v>
      </c>
      <c r="AD155" s="4">
        <f t="shared" si="53"/>
        <v>0</v>
      </c>
    </row>
    <row r="156" spans="3:30">
      <c r="C156" s="109" t="str">
        <f t="shared" ref="C156:C177" si="54">C103</f>
        <v>HPC1</v>
      </c>
      <c r="D156" s="14"/>
      <c r="E156" s="123"/>
      <c r="F156" s="124" t="str">
        <f t="shared" ref="F156:F177" si="55">F103</f>
        <v>IT</v>
      </c>
      <c r="G156" s="14"/>
      <c r="H156" s="124"/>
      <c r="I156" s="125"/>
      <c r="J156" s="126"/>
      <c r="K156" s="3">
        <f t="shared" ref="K156:AD156" si="56">IF(NOT(ISBLANK(K51)),$J51,0)</f>
        <v>0</v>
      </c>
      <c r="L156" s="3">
        <f t="shared" si="56"/>
        <v>0</v>
      </c>
      <c r="M156" s="3">
        <f t="shared" si="56"/>
        <v>0</v>
      </c>
      <c r="N156" s="3">
        <f t="shared" si="56"/>
        <v>0</v>
      </c>
      <c r="O156" s="3">
        <f t="shared" si="56"/>
        <v>0</v>
      </c>
      <c r="P156" s="3">
        <f t="shared" si="56"/>
        <v>0</v>
      </c>
      <c r="Q156" s="3">
        <f t="shared" si="56"/>
        <v>0</v>
      </c>
      <c r="R156" s="3">
        <f t="shared" si="56"/>
        <v>0</v>
      </c>
      <c r="S156" s="3">
        <f t="shared" si="56"/>
        <v>0</v>
      </c>
      <c r="T156" s="3">
        <f t="shared" si="56"/>
        <v>0</v>
      </c>
      <c r="U156" s="3">
        <f t="shared" si="56"/>
        <v>0</v>
      </c>
      <c r="V156" s="3">
        <f t="shared" si="56"/>
        <v>0</v>
      </c>
      <c r="W156" s="3">
        <f t="shared" si="56"/>
        <v>0</v>
      </c>
      <c r="X156" s="3">
        <f t="shared" si="56"/>
        <v>0</v>
      </c>
      <c r="Y156" s="3">
        <f t="shared" si="56"/>
        <v>0</v>
      </c>
      <c r="Z156" s="3">
        <f t="shared" si="56"/>
        <v>0</v>
      </c>
      <c r="AA156" s="3">
        <f t="shared" si="56"/>
        <v>0</v>
      </c>
      <c r="AB156" s="3">
        <f t="shared" si="56"/>
        <v>0</v>
      </c>
      <c r="AC156" s="3">
        <f t="shared" si="56"/>
        <v>0</v>
      </c>
      <c r="AD156" s="3">
        <f t="shared" si="56"/>
        <v>0</v>
      </c>
    </row>
    <row r="157" spans="3:30">
      <c r="C157" s="109" t="str">
        <f t="shared" si="54"/>
        <v>HPC1</v>
      </c>
      <c r="D157" s="14"/>
      <c r="E157" s="123"/>
      <c r="F157" s="124" t="str">
        <f t="shared" si="55"/>
        <v>CPU</v>
      </c>
      <c r="G157" s="14"/>
      <c r="H157" s="124"/>
      <c r="I157" s="125"/>
      <c r="J157" s="126"/>
      <c r="K157" s="3">
        <f t="shared" ref="K157:AD157" si="57">IF(NOT(ISBLANK(K52)),$J52,0)</f>
        <v>4864</v>
      </c>
      <c r="L157" s="3">
        <f t="shared" si="57"/>
        <v>4864</v>
      </c>
      <c r="M157" s="3">
        <f t="shared" si="57"/>
        <v>4864</v>
      </c>
      <c r="N157" s="3">
        <f t="shared" si="57"/>
        <v>4864</v>
      </c>
      <c r="O157" s="3">
        <f t="shared" si="57"/>
        <v>4864</v>
      </c>
      <c r="P157" s="3">
        <f t="shared" si="57"/>
        <v>4864</v>
      </c>
      <c r="Q157" s="3">
        <f t="shared" si="57"/>
        <v>4864</v>
      </c>
      <c r="R157" s="3">
        <f t="shared" si="57"/>
        <v>4864</v>
      </c>
      <c r="S157" s="3">
        <f t="shared" si="57"/>
        <v>4864</v>
      </c>
      <c r="T157" s="3">
        <f t="shared" si="57"/>
        <v>4864</v>
      </c>
      <c r="U157" s="3">
        <f t="shared" si="57"/>
        <v>4864</v>
      </c>
      <c r="V157" s="3">
        <f t="shared" si="57"/>
        <v>4864</v>
      </c>
      <c r="W157" s="3">
        <f t="shared" si="57"/>
        <v>4864</v>
      </c>
      <c r="X157" s="3">
        <f t="shared" si="57"/>
        <v>4864</v>
      </c>
      <c r="Y157" s="3">
        <f t="shared" si="57"/>
        <v>4864</v>
      </c>
      <c r="Z157" s="3">
        <f t="shared" si="57"/>
        <v>4864</v>
      </c>
      <c r="AA157" s="3">
        <f t="shared" si="57"/>
        <v>4864</v>
      </c>
      <c r="AB157" s="3">
        <f t="shared" si="57"/>
        <v>4864</v>
      </c>
      <c r="AC157" s="3">
        <f t="shared" si="57"/>
        <v>4864</v>
      </c>
      <c r="AD157" s="3">
        <f t="shared" si="57"/>
        <v>4864</v>
      </c>
    </row>
    <row r="158" spans="3:30">
      <c r="C158" s="109" t="str">
        <f t="shared" si="54"/>
        <v>HDD</v>
      </c>
      <c r="D158" s="14"/>
      <c r="E158" s="123"/>
      <c r="F158" s="124" t="str">
        <f t="shared" si="55"/>
        <v>Hdisk</v>
      </c>
      <c r="G158" s="14"/>
      <c r="H158" s="124"/>
      <c r="I158" s="125"/>
      <c r="J158" s="126"/>
      <c r="K158" s="3">
        <f t="shared" ref="K158:AD158" si="58">IF(NOT(ISBLANK(K53)),$J53,0)</f>
        <v>14.840000000000002</v>
      </c>
      <c r="L158" s="3">
        <f t="shared" si="58"/>
        <v>14.840000000000002</v>
      </c>
      <c r="M158" s="3">
        <f t="shared" si="58"/>
        <v>14.840000000000002</v>
      </c>
      <c r="N158" s="3">
        <f t="shared" si="58"/>
        <v>14.840000000000002</v>
      </c>
      <c r="O158" s="3">
        <f t="shared" si="58"/>
        <v>14.840000000000002</v>
      </c>
      <c r="P158" s="3">
        <f t="shared" si="58"/>
        <v>14.840000000000002</v>
      </c>
      <c r="Q158" s="3">
        <f t="shared" si="58"/>
        <v>14.840000000000002</v>
      </c>
      <c r="R158" s="3">
        <f t="shared" si="58"/>
        <v>14.840000000000002</v>
      </c>
      <c r="S158" s="3">
        <f t="shared" si="58"/>
        <v>14.840000000000002</v>
      </c>
      <c r="T158" s="3">
        <f t="shared" si="58"/>
        <v>14.840000000000002</v>
      </c>
      <c r="U158" s="3">
        <f t="shared" si="58"/>
        <v>14.840000000000002</v>
      </c>
      <c r="V158" s="3">
        <f t="shared" si="58"/>
        <v>14.840000000000002</v>
      </c>
      <c r="W158" s="3">
        <f t="shared" si="58"/>
        <v>14.840000000000002</v>
      </c>
      <c r="X158" s="3">
        <f t="shared" si="58"/>
        <v>14.840000000000002</v>
      </c>
      <c r="Y158" s="3">
        <f t="shared" si="58"/>
        <v>14.840000000000002</v>
      </c>
      <c r="Z158" s="3">
        <f t="shared" si="58"/>
        <v>14.840000000000002</v>
      </c>
      <c r="AA158" s="3">
        <f t="shared" si="58"/>
        <v>14.840000000000002</v>
      </c>
      <c r="AB158" s="3">
        <f t="shared" si="58"/>
        <v>14.840000000000002</v>
      </c>
      <c r="AC158" s="3">
        <f t="shared" si="58"/>
        <v>14.840000000000002</v>
      </c>
      <c r="AD158" s="3">
        <f t="shared" si="58"/>
        <v>14.840000000000002</v>
      </c>
    </row>
    <row r="159" spans="3:30">
      <c r="C159" s="109" t="str">
        <f t="shared" si="54"/>
        <v>HPC1</v>
      </c>
      <c r="D159" s="14"/>
      <c r="E159" s="123"/>
      <c r="F159" s="124" t="str">
        <f t="shared" si="55"/>
        <v>CPU</v>
      </c>
      <c r="G159" s="14"/>
      <c r="H159" s="124"/>
      <c r="I159" s="125"/>
      <c r="J159" s="126"/>
      <c r="K159" s="3">
        <f t="shared" ref="K159:AD159" si="59">IF(NOT(ISBLANK(K54)),$J54,0)</f>
        <v>0</v>
      </c>
      <c r="L159" s="3">
        <f t="shared" si="59"/>
        <v>0</v>
      </c>
      <c r="M159" s="3">
        <f t="shared" si="59"/>
        <v>5120</v>
      </c>
      <c r="N159" s="3">
        <f t="shared" si="59"/>
        <v>5120</v>
      </c>
      <c r="O159" s="3">
        <f t="shared" si="59"/>
        <v>5120</v>
      </c>
      <c r="P159" s="3">
        <f t="shared" si="59"/>
        <v>5120</v>
      </c>
      <c r="Q159" s="3">
        <f t="shared" si="59"/>
        <v>5120</v>
      </c>
      <c r="R159" s="3">
        <f t="shared" si="59"/>
        <v>5120</v>
      </c>
      <c r="S159" s="3">
        <f t="shared" si="59"/>
        <v>5120</v>
      </c>
      <c r="T159" s="3">
        <f t="shared" si="59"/>
        <v>5120</v>
      </c>
      <c r="U159" s="3">
        <f t="shared" si="59"/>
        <v>5120</v>
      </c>
      <c r="V159" s="3">
        <f t="shared" si="59"/>
        <v>5120</v>
      </c>
      <c r="W159" s="3">
        <f t="shared" si="59"/>
        <v>5120</v>
      </c>
      <c r="X159" s="3">
        <f t="shared" si="59"/>
        <v>5120</v>
      </c>
      <c r="Y159" s="3">
        <f t="shared" si="59"/>
        <v>5120</v>
      </c>
      <c r="Z159" s="3">
        <f t="shared" si="59"/>
        <v>5120</v>
      </c>
      <c r="AA159" s="3">
        <f t="shared" si="59"/>
        <v>5120</v>
      </c>
      <c r="AB159" s="3">
        <f t="shared" si="59"/>
        <v>5120</v>
      </c>
      <c r="AC159" s="3">
        <f t="shared" si="59"/>
        <v>5120</v>
      </c>
      <c r="AD159" s="3">
        <f t="shared" si="59"/>
        <v>5120</v>
      </c>
    </row>
    <row r="160" spans="3:30">
      <c r="C160" s="109" t="str">
        <f t="shared" si="54"/>
        <v>H100-4</v>
      </c>
      <c r="D160" s="14"/>
      <c r="E160" s="123"/>
      <c r="F160" s="124" t="str">
        <f t="shared" si="55"/>
        <v>GPU</v>
      </c>
      <c r="G160" s="14"/>
      <c r="H160" s="124"/>
      <c r="I160" s="125"/>
      <c r="J160" s="126"/>
      <c r="K160" s="3">
        <f t="shared" ref="K160:AD160" si="60">IF(NOT(ISBLANK(K55)),$J55,0)</f>
        <v>0</v>
      </c>
      <c r="L160" s="3">
        <f t="shared" si="60"/>
        <v>0</v>
      </c>
      <c r="M160" s="3">
        <f t="shared" si="60"/>
        <v>64</v>
      </c>
      <c r="N160" s="3">
        <f t="shared" si="60"/>
        <v>64</v>
      </c>
      <c r="O160" s="3">
        <f t="shared" si="60"/>
        <v>64</v>
      </c>
      <c r="P160" s="3">
        <f t="shared" si="60"/>
        <v>64</v>
      </c>
      <c r="Q160" s="3">
        <f t="shared" si="60"/>
        <v>64</v>
      </c>
      <c r="R160" s="3">
        <f t="shared" si="60"/>
        <v>64</v>
      </c>
      <c r="S160" s="3">
        <f t="shared" si="60"/>
        <v>64</v>
      </c>
      <c r="T160" s="3">
        <f t="shared" si="60"/>
        <v>64</v>
      </c>
      <c r="U160" s="3">
        <f t="shared" si="60"/>
        <v>64</v>
      </c>
      <c r="V160" s="3">
        <f t="shared" si="60"/>
        <v>64</v>
      </c>
      <c r="W160" s="3">
        <f t="shared" si="60"/>
        <v>64</v>
      </c>
      <c r="X160" s="3">
        <f t="shared" si="60"/>
        <v>64</v>
      </c>
      <c r="Y160" s="3">
        <f t="shared" si="60"/>
        <v>64</v>
      </c>
      <c r="Z160" s="3">
        <f t="shared" si="60"/>
        <v>64</v>
      </c>
      <c r="AA160" s="3">
        <f t="shared" si="60"/>
        <v>64</v>
      </c>
      <c r="AB160" s="3">
        <f t="shared" si="60"/>
        <v>64</v>
      </c>
      <c r="AC160" s="3">
        <f t="shared" si="60"/>
        <v>64</v>
      </c>
      <c r="AD160" s="3">
        <f t="shared" si="60"/>
        <v>64</v>
      </c>
    </row>
    <row r="161" spans="3:30">
      <c r="C161" s="109" t="str">
        <f t="shared" si="54"/>
        <v>HDD</v>
      </c>
      <c r="D161" s="14"/>
      <c r="E161" s="123"/>
      <c r="F161" s="124" t="str">
        <f t="shared" si="55"/>
        <v>Hdisk</v>
      </c>
      <c r="G161" s="14"/>
      <c r="H161" s="124"/>
      <c r="I161" s="125"/>
      <c r="J161" s="126"/>
      <c r="K161" s="3">
        <f t="shared" ref="K161:AD161" si="61">IF(NOT(ISBLANK(K56)),$J56,0)</f>
        <v>0</v>
      </c>
      <c r="L161" s="3">
        <f t="shared" si="61"/>
        <v>0</v>
      </c>
      <c r="M161" s="3">
        <f t="shared" si="61"/>
        <v>8.48</v>
      </c>
      <c r="N161" s="3">
        <f t="shared" si="61"/>
        <v>8.48</v>
      </c>
      <c r="O161" s="3">
        <f t="shared" si="61"/>
        <v>8.48</v>
      </c>
      <c r="P161" s="3">
        <f t="shared" si="61"/>
        <v>8.48</v>
      </c>
      <c r="Q161" s="3">
        <f t="shared" si="61"/>
        <v>8.48</v>
      </c>
      <c r="R161" s="3">
        <f t="shared" si="61"/>
        <v>8.48</v>
      </c>
      <c r="S161" s="3">
        <f t="shared" si="61"/>
        <v>8.48</v>
      </c>
      <c r="T161" s="3">
        <f t="shared" si="61"/>
        <v>8.48</v>
      </c>
      <c r="U161" s="3">
        <f t="shared" si="61"/>
        <v>8.48</v>
      </c>
      <c r="V161" s="3">
        <f t="shared" si="61"/>
        <v>8.48</v>
      </c>
      <c r="W161" s="3">
        <f t="shared" si="61"/>
        <v>8.48</v>
      </c>
      <c r="X161" s="3">
        <f t="shared" si="61"/>
        <v>8.48</v>
      </c>
      <c r="Y161" s="3">
        <f t="shared" si="61"/>
        <v>8.48</v>
      </c>
      <c r="Z161" s="3">
        <f t="shared" si="61"/>
        <v>8.48</v>
      </c>
      <c r="AA161" s="3">
        <f t="shared" si="61"/>
        <v>8.48</v>
      </c>
      <c r="AB161" s="3">
        <f t="shared" si="61"/>
        <v>8.48</v>
      </c>
      <c r="AC161" s="3">
        <f t="shared" si="61"/>
        <v>8.48</v>
      </c>
      <c r="AD161" s="3">
        <f t="shared" si="61"/>
        <v>8.48</v>
      </c>
    </row>
    <row r="162" spans="3:30">
      <c r="C162" s="109" t="str">
        <f t="shared" si="54"/>
        <v>HDD</v>
      </c>
      <c r="D162" s="14"/>
      <c r="E162" s="123"/>
      <c r="F162" s="124" t="str">
        <f t="shared" si="55"/>
        <v>Hdisk</v>
      </c>
      <c r="G162" s="14"/>
      <c r="H162" s="124"/>
      <c r="I162" s="125"/>
      <c r="J162" s="126"/>
      <c r="K162" s="3">
        <f t="shared" ref="K162:AD162" si="62">IF(NOT(ISBLANK(K57)),$J57,0)</f>
        <v>0</v>
      </c>
      <c r="L162" s="3">
        <f t="shared" si="62"/>
        <v>0</v>
      </c>
      <c r="M162" s="3">
        <f t="shared" si="62"/>
        <v>0</v>
      </c>
      <c r="N162" s="3">
        <f t="shared" si="62"/>
        <v>0</v>
      </c>
      <c r="O162" s="3">
        <f t="shared" si="62"/>
        <v>0</v>
      </c>
      <c r="P162" s="3">
        <f t="shared" si="62"/>
        <v>0</v>
      </c>
      <c r="Q162" s="3">
        <f t="shared" si="62"/>
        <v>0</v>
      </c>
      <c r="R162" s="3">
        <f t="shared" si="62"/>
        <v>63.6</v>
      </c>
      <c r="S162" s="3">
        <f t="shared" si="62"/>
        <v>63.6</v>
      </c>
      <c r="T162" s="3">
        <f t="shared" si="62"/>
        <v>63.6</v>
      </c>
      <c r="U162" s="3">
        <f t="shared" si="62"/>
        <v>63.6</v>
      </c>
      <c r="V162" s="3">
        <f t="shared" si="62"/>
        <v>63.6</v>
      </c>
      <c r="W162" s="3">
        <f t="shared" si="62"/>
        <v>63.6</v>
      </c>
      <c r="X162" s="3">
        <f t="shared" si="62"/>
        <v>63.6</v>
      </c>
      <c r="Y162" s="3">
        <f t="shared" si="62"/>
        <v>63.6</v>
      </c>
      <c r="Z162" s="3">
        <f t="shared" si="62"/>
        <v>63.6</v>
      </c>
      <c r="AA162" s="3">
        <f t="shared" si="62"/>
        <v>63.6</v>
      </c>
      <c r="AB162" s="3">
        <f t="shared" si="62"/>
        <v>63.6</v>
      </c>
      <c r="AC162" s="3">
        <f t="shared" si="62"/>
        <v>63.6</v>
      </c>
      <c r="AD162" s="3">
        <f t="shared" si="62"/>
        <v>63.6</v>
      </c>
    </row>
    <row r="163" spans="3:30">
      <c r="C163" s="109" t="str">
        <f t="shared" si="54"/>
        <v>--</v>
      </c>
      <c r="D163" s="14"/>
      <c r="E163" s="123"/>
      <c r="F163" s="124" t="str">
        <f t="shared" si="55"/>
        <v xml:space="preserve"> </v>
      </c>
      <c r="G163" s="14"/>
      <c r="H163" s="124"/>
      <c r="I163" s="125"/>
      <c r="J163" s="126"/>
      <c r="K163" s="3">
        <f t="shared" ref="K163:AD163" si="63">IF(NOT(ISBLANK(K58)),$J58,0)</f>
        <v>0</v>
      </c>
      <c r="L163" s="3">
        <f t="shared" si="63"/>
        <v>0</v>
      </c>
      <c r="M163" s="3">
        <f t="shared" si="63"/>
        <v>0</v>
      </c>
      <c r="N163" s="3" t="str">
        <f t="shared" si="63"/>
        <v xml:space="preserve"> </v>
      </c>
      <c r="O163" s="3" t="str">
        <f t="shared" si="63"/>
        <v xml:space="preserve"> </v>
      </c>
      <c r="P163" s="3" t="str">
        <f t="shared" si="63"/>
        <v xml:space="preserve"> </v>
      </c>
      <c r="Q163" s="3" t="str">
        <f t="shared" si="63"/>
        <v xml:space="preserve"> </v>
      </c>
      <c r="R163" s="3" t="str">
        <f t="shared" si="63"/>
        <v xml:space="preserve"> </v>
      </c>
      <c r="S163" s="3" t="str">
        <f t="shared" si="63"/>
        <v xml:space="preserve"> </v>
      </c>
      <c r="T163" s="3" t="str">
        <f t="shared" si="63"/>
        <v xml:space="preserve"> </v>
      </c>
      <c r="U163" s="3" t="str">
        <f t="shared" si="63"/>
        <v xml:space="preserve"> </v>
      </c>
      <c r="V163" s="3" t="str">
        <f t="shared" si="63"/>
        <v xml:space="preserve"> </v>
      </c>
      <c r="W163" s="3" t="str">
        <f t="shared" si="63"/>
        <v xml:space="preserve"> </v>
      </c>
      <c r="X163" s="3" t="str">
        <f t="shared" si="63"/>
        <v xml:space="preserve"> </v>
      </c>
      <c r="Y163" s="3" t="str">
        <f t="shared" si="63"/>
        <v xml:space="preserve"> </v>
      </c>
      <c r="Z163" s="3" t="str">
        <f t="shared" si="63"/>
        <v xml:space="preserve"> </v>
      </c>
      <c r="AA163" s="3" t="str">
        <f t="shared" si="63"/>
        <v xml:space="preserve"> </v>
      </c>
      <c r="AB163" s="3" t="str">
        <f t="shared" si="63"/>
        <v xml:space="preserve"> </v>
      </c>
      <c r="AC163" s="3">
        <f t="shared" si="63"/>
        <v>0</v>
      </c>
      <c r="AD163" s="3">
        <f t="shared" si="63"/>
        <v>0</v>
      </c>
    </row>
    <row r="164" spans="3:30">
      <c r="C164" s="109" t="str">
        <f t="shared" si="54"/>
        <v>--</v>
      </c>
      <c r="D164" s="14"/>
      <c r="E164" s="123"/>
      <c r="F164" s="124" t="str">
        <f t="shared" si="55"/>
        <v xml:space="preserve"> </v>
      </c>
      <c r="G164" s="14"/>
      <c r="H164" s="124"/>
      <c r="I164" s="125"/>
      <c r="J164" s="126"/>
      <c r="K164" s="3">
        <f t="shared" ref="K164:AD164" si="64">IF(NOT(ISBLANK(K59)),$J59,0)</f>
        <v>0</v>
      </c>
      <c r="L164" s="3">
        <f t="shared" si="64"/>
        <v>0</v>
      </c>
      <c r="M164" s="3">
        <f t="shared" si="64"/>
        <v>0</v>
      </c>
      <c r="N164" s="3" t="str">
        <f t="shared" si="64"/>
        <v xml:space="preserve"> </v>
      </c>
      <c r="O164" s="3" t="str">
        <f t="shared" si="64"/>
        <v xml:space="preserve"> </v>
      </c>
      <c r="P164" s="3" t="str">
        <f t="shared" si="64"/>
        <v xml:space="preserve"> </v>
      </c>
      <c r="Q164" s="3" t="str">
        <f t="shared" si="64"/>
        <v xml:space="preserve"> </v>
      </c>
      <c r="R164" s="3" t="str">
        <f t="shared" si="64"/>
        <v xml:space="preserve"> </v>
      </c>
      <c r="S164" s="3" t="str">
        <f t="shared" si="64"/>
        <v xml:space="preserve"> </v>
      </c>
      <c r="T164" s="3" t="str">
        <f t="shared" si="64"/>
        <v xml:space="preserve"> </v>
      </c>
      <c r="U164" s="3" t="str">
        <f t="shared" si="64"/>
        <v xml:space="preserve"> </v>
      </c>
      <c r="V164" s="3" t="str">
        <f t="shared" si="64"/>
        <v xml:space="preserve"> </v>
      </c>
      <c r="W164" s="3" t="str">
        <f t="shared" si="64"/>
        <v xml:space="preserve"> </v>
      </c>
      <c r="X164" s="3" t="str">
        <f t="shared" si="64"/>
        <v xml:space="preserve"> </v>
      </c>
      <c r="Y164" s="3">
        <f t="shared" si="64"/>
        <v>0</v>
      </c>
      <c r="Z164" s="3">
        <f t="shared" si="64"/>
        <v>0</v>
      </c>
      <c r="AA164" s="3">
        <f t="shared" si="64"/>
        <v>0</v>
      </c>
      <c r="AB164" s="3">
        <f t="shared" si="64"/>
        <v>0</v>
      </c>
      <c r="AC164" s="3">
        <f t="shared" si="64"/>
        <v>0</v>
      </c>
      <c r="AD164" s="3">
        <f t="shared" si="64"/>
        <v>0</v>
      </c>
    </row>
    <row r="165" spans="3:30">
      <c r="C165" s="109" t="str">
        <f t="shared" si="54"/>
        <v>--</v>
      </c>
      <c r="D165" s="14"/>
      <c r="E165" s="123"/>
      <c r="F165" s="124" t="str">
        <f t="shared" si="55"/>
        <v xml:space="preserve"> </v>
      </c>
      <c r="G165" s="14"/>
      <c r="H165" s="124"/>
      <c r="I165" s="125"/>
      <c r="J165" s="126"/>
      <c r="K165" s="3">
        <f t="shared" ref="K165:AD165" si="65">IF(NOT(ISBLANK(K60)),$J60,0)</f>
        <v>0</v>
      </c>
      <c r="L165" s="3">
        <f t="shared" si="65"/>
        <v>0</v>
      </c>
      <c r="M165" s="3">
        <f t="shared" si="65"/>
        <v>0</v>
      </c>
      <c r="N165" s="3" t="str">
        <f t="shared" si="65"/>
        <v xml:space="preserve"> </v>
      </c>
      <c r="O165" s="3" t="str">
        <f t="shared" si="65"/>
        <v xml:space="preserve"> </v>
      </c>
      <c r="P165" s="3" t="str">
        <f t="shared" si="65"/>
        <v xml:space="preserve"> </v>
      </c>
      <c r="Q165" s="3" t="str">
        <f t="shared" si="65"/>
        <v xml:space="preserve"> </v>
      </c>
      <c r="R165" s="3" t="str">
        <f t="shared" si="65"/>
        <v xml:space="preserve"> </v>
      </c>
      <c r="S165" s="3" t="str">
        <f t="shared" si="65"/>
        <v xml:space="preserve"> </v>
      </c>
      <c r="T165" s="3" t="str">
        <f t="shared" si="65"/>
        <v xml:space="preserve"> </v>
      </c>
      <c r="U165" s="3" t="str">
        <f t="shared" si="65"/>
        <v xml:space="preserve"> </v>
      </c>
      <c r="V165" s="3" t="str">
        <f t="shared" si="65"/>
        <v xml:space="preserve"> </v>
      </c>
      <c r="W165" s="3" t="str">
        <f t="shared" si="65"/>
        <v xml:space="preserve"> </v>
      </c>
      <c r="X165" s="3" t="str">
        <f t="shared" si="65"/>
        <v xml:space="preserve"> </v>
      </c>
      <c r="Y165" s="3">
        <f t="shared" si="65"/>
        <v>0</v>
      </c>
      <c r="Z165" s="3">
        <f t="shared" si="65"/>
        <v>0</v>
      </c>
      <c r="AA165" s="3">
        <f t="shared" si="65"/>
        <v>0</v>
      </c>
      <c r="AB165" s="3">
        <f t="shared" si="65"/>
        <v>0</v>
      </c>
      <c r="AC165" s="3">
        <f t="shared" si="65"/>
        <v>0</v>
      </c>
      <c r="AD165" s="3">
        <f t="shared" si="65"/>
        <v>0</v>
      </c>
    </row>
    <row r="166" spans="3:30">
      <c r="C166" s="109" t="str">
        <f t="shared" si="54"/>
        <v>--</v>
      </c>
      <c r="D166" s="14"/>
      <c r="E166" s="123"/>
      <c r="F166" s="124" t="str">
        <f t="shared" si="55"/>
        <v xml:space="preserve"> </v>
      </c>
      <c r="G166" s="14"/>
      <c r="H166" s="124"/>
      <c r="I166" s="125"/>
      <c r="J166" s="126"/>
      <c r="K166" s="3">
        <f t="shared" ref="K166:AD166" si="66">IF(NOT(ISBLANK(K61)),$J61,0)</f>
        <v>0</v>
      </c>
      <c r="L166" s="3">
        <f t="shared" si="66"/>
        <v>0</v>
      </c>
      <c r="M166" s="3">
        <f t="shared" si="66"/>
        <v>0</v>
      </c>
      <c r="N166" s="3">
        <f t="shared" si="66"/>
        <v>0</v>
      </c>
      <c r="O166" s="3">
        <f t="shared" si="66"/>
        <v>0</v>
      </c>
      <c r="P166" s="3">
        <f t="shared" si="66"/>
        <v>0</v>
      </c>
      <c r="Q166" s="3" t="str">
        <f t="shared" si="66"/>
        <v xml:space="preserve"> </v>
      </c>
      <c r="R166" s="3" t="str">
        <f t="shared" si="66"/>
        <v xml:space="preserve"> </v>
      </c>
      <c r="S166" s="3" t="str">
        <f t="shared" si="66"/>
        <v xml:space="preserve"> </v>
      </c>
      <c r="T166" s="3" t="str">
        <f t="shared" si="66"/>
        <v xml:space="preserve"> </v>
      </c>
      <c r="U166" s="3" t="str">
        <f t="shared" si="66"/>
        <v xml:space="preserve"> </v>
      </c>
      <c r="V166" s="3" t="str">
        <f t="shared" si="66"/>
        <v xml:space="preserve"> </v>
      </c>
      <c r="W166" s="3" t="str">
        <f t="shared" si="66"/>
        <v xml:space="preserve"> </v>
      </c>
      <c r="X166" s="3" t="str">
        <f t="shared" si="66"/>
        <v xml:space="preserve"> </v>
      </c>
      <c r="Y166" s="3" t="str">
        <f t="shared" si="66"/>
        <v xml:space="preserve"> </v>
      </c>
      <c r="Z166" s="3" t="str">
        <f t="shared" si="66"/>
        <v xml:space="preserve"> </v>
      </c>
      <c r="AA166" s="3">
        <f t="shared" si="66"/>
        <v>0</v>
      </c>
      <c r="AB166" s="3">
        <f t="shared" si="66"/>
        <v>0</v>
      </c>
      <c r="AC166" s="3">
        <f t="shared" si="66"/>
        <v>0</v>
      </c>
      <c r="AD166" s="3">
        <f t="shared" si="66"/>
        <v>0</v>
      </c>
    </row>
    <row r="167" spans="3:30">
      <c r="C167" s="109" t="str">
        <f t="shared" si="54"/>
        <v>--</v>
      </c>
      <c r="D167" s="14"/>
      <c r="E167" s="123"/>
      <c r="F167" s="124" t="str">
        <f t="shared" si="55"/>
        <v xml:space="preserve"> </v>
      </c>
      <c r="G167" s="14"/>
      <c r="H167" s="124"/>
      <c r="I167" s="125"/>
      <c r="J167" s="126"/>
      <c r="K167" s="3">
        <f t="shared" ref="K167:AD167" si="67">IF(NOT(ISBLANK(K62)),$J62,0)</f>
        <v>0</v>
      </c>
      <c r="L167" s="3">
        <f t="shared" si="67"/>
        <v>0</v>
      </c>
      <c r="M167" s="3">
        <f t="shared" si="67"/>
        <v>0</v>
      </c>
      <c r="N167" s="3">
        <f t="shared" si="67"/>
        <v>0</v>
      </c>
      <c r="O167" s="3">
        <f t="shared" si="67"/>
        <v>0</v>
      </c>
      <c r="P167" s="3">
        <f t="shared" si="67"/>
        <v>0</v>
      </c>
      <c r="Q167" s="3">
        <f t="shared" si="67"/>
        <v>0</v>
      </c>
      <c r="R167" s="3">
        <f t="shared" si="67"/>
        <v>0</v>
      </c>
      <c r="S167" s="3">
        <f t="shared" si="67"/>
        <v>0</v>
      </c>
      <c r="T167" s="3">
        <f t="shared" si="67"/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3">
        <f t="shared" si="67"/>
        <v>0</v>
      </c>
      <c r="Y167" s="3">
        <f t="shared" si="67"/>
        <v>0</v>
      </c>
      <c r="Z167" s="3">
        <f t="shared" si="67"/>
        <v>0</v>
      </c>
      <c r="AA167" s="3">
        <f t="shared" si="67"/>
        <v>0</v>
      </c>
      <c r="AB167" s="3">
        <f t="shared" si="67"/>
        <v>0</v>
      </c>
      <c r="AC167" s="3">
        <f t="shared" si="67"/>
        <v>0</v>
      </c>
      <c r="AD167" s="3">
        <f t="shared" si="67"/>
        <v>0</v>
      </c>
    </row>
    <row r="168" spans="3:30">
      <c r="C168" s="109" t="str">
        <f t="shared" si="54"/>
        <v>--</v>
      </c>
      <c r="D168" s="14"/>
      <c r="E168" s="123"/>
      <c r="F168" s="124" t="str">
        <f t="shared" si="55"/>
        <v xml:space="preserve"> </v>
      </c>
      <c r="G168" s="14"/>
      <c r="H168" s="124"/>
      <c r="I168" s="125"/>
      <c r="J168" s="126"/>
      <c r="K168" s="3">
        <f t="shared" ref="K168:AD168" si="68">IF(NOT(ISBLANK(K63)),$J63,0)</f>
        <v>0</v>
      </c>
      <c r="L168" s="3">
        <f t="shared" si="68"/>
        <v>0</v>
      </c>
      <c r="M168" s="3">
        <f t="shared" si="68"/>
        <v>0</v>
      </c>
      <c r="N168" s="3">
        <f t="shared" si="68"/>
        <v>0</v>
      </c>
      <c r="O168" s="3">
        <f t="shared" si="68"/>
        <v>0</v>
      </c>
      <c r="P168" s="3">
        <f t="shared" si="68"/>
        <v>0</v>
      </c>
      <c r="Q168" s="3">
        <f t="shared" si="68"/>
        <v>0</v>
      </c>
      <c r="R168" s="3">
        <f t="shared" si="68"/>
        <v>0</v>
      </c>
      <c r="S168" s="3">
        <f t="shared" si="68"/>
        <v>0</v>
      </c>
      <c r="T168" s="3">
        <f t="shared" si="68"/>
        <v>0</v>
      </c>
      <c r="U168" s="3">
        <f t="shared" si="68"/>
        <v>0</v>
      </c>
      <c r="V168" s="3">
        <f t="shared" si="68"/>
        <v>0</v>
      </c>
      <c r="W168" s="3">
        <f t="shared" si="68"/>
        <v>0</v>
      </c>
      <c r="X168" s="3">
        <f t="shared" si="68"/>
        <v>0</v>
      </c>
      <c r="Y168" s="3">
        <f t="shared" si="68"/>
        <v>0</v>
      </c>
      <c r="Z168" s="3">
        <f t="shared" si="68"/>
        <v>0</v>
      </c>
      <c r="AA168" s="3">
        <f t="shared" si="68"/>
        <v>0</v>
      </c>
      <c r="AB168" s="3">
        <f t="shared" si="68"/>
        <v>0</v>
      </c>
      <c r="AC168" s="3">
        <f t="shared" si="68"/>
        <v>0</v>
      </c>
      <c r="AD168" s="3">
        <f t="shared" si="68"/>
        <v>0</v>
      </c>
    </row>
    <row r="169" spans="3:30">
      <c r="C169" s="109" t="str">
        <f t="shared" si="54"/>
        <v>--</v>
      </c>
      <c r="D169" s="14"/>
      <c r="E169" s="123"/>
      <c r="F169" s="124" t="str">
        <f t="shared" si="55"/>
        <v xml:space="preserve"> </v>
      </c>
      <c r="G169" s="14"/>
      <c r="H169" s="124"/>
      <c r="I169" s="125"/>
      <c r="J169" s="126"/>
      <c r="K169" s="3">
        <f t="shared" ref="K169:AD169" si="69">IF(NOT(ISBLANK(K64)),$J64,0)</f>
        <v>0</v>
      </c>
      <c r="L169" s="3">
        <f t="shared" si="69"/>
        <v>0</v>
      </c>
      <c r="M169" s="3">
        <f t="shared" si="69"/>
        <v>0</v>
      </c>
      <c r="N169" s="3">
        <f t="shared" si="69"/>
        <v>0</v>
      </c>
      <c r="O169" s="3">
        <f t="shared" si="69"/>
        <v>0</v>
      </c>
      <c r="P169" s="3">
        <f t="shared" si="69"/>
        <v>0</v>
      </c>
      <c r="Q169" s="3">
        <f t="shared" si="69"/>
        <v>0</v>
      </c>
      <c r="R169" s="3">
        <f t="shared" si="69"/>
        <v>0</v>
      </c>
      <c r="S169" s="3">
        <f t="shared" si="69"/>
        <v>0</v>
      </c>
      <c r="T169" s="3">
        <f t="shared" si="69"/>
        <v>0</v>
      </c>
      <c r="U169" s="3">
        <f t="shared" si="69"/>
        <v>0</v>
      </c>
      <c r="V169" s="3">
        <f t="shared" si="69"/>
        <v>0</v>
      </c>
      <c r="W169" s="3">
        <f t="shared" si="69"/>
        <v>0</v>
      </c>
      <c r="X169" s="3">
        <f t="shared" si="69"/>
        <v>0</v>
      </c>
      <c r="Y169" s="3">
        <f t="shared" si="69"/>
        <v>0</v>
      </c>
      <c r="Z169" s="3">
        <f t="shared" si="69"/>
        <v>0</v>
      </c>
      <c r="AA169" s="3">
        <f t="shared" si="69"/>
        <v>0</v>
      </c>
      <c r="AB169" s="3">
        <f t="shared" si="69"/>
        <v>0</v>
      </c>
      <c r="AC169" s="3">
        <f t="shared" si="69"/>
        <v>0</v>
      </c>
      <c r="AD169" s="3">
        <f t="shared" si="69"/>
        <v>0</v>
      </c>
    </row>
    <row r="170" spans="3:30">
      <c r="C170" s="109" t="str">
        <f t="shared" si="54"/>
        <v>--</v>
      </c>
      <c r="D170" s="14"/>
      <c r="E170" s="123"/>
      <c r="F170" s="124" t="str">
        <f t="shared" si="55"/>
        <v xml:space="preserve"> </v>
      </c>
      <c r="G170" s="14"/>
      <c r="H170" s="124"/>
      <c r="I170" s="125"/>
      <c r="J170" s="126"/>
      <c r="K170" s="3">
        <f t="shared" ref="K170:AD170" si="70">IF(NOT(ISBLANK(K65)),$J65,0)</f>
        <v>0</v>
      </c>
      <c r="L170" s="3">
        <f t="shared" si="70"/>
        <v>0</v>
      </c>
      <c r="M170" s="3">
        <f t="shared" si="70"/>
        <v>0</v>
      </c>
      <c r="N170" s="3">
        <f t="shared" si="70"/>
        <v>0</v>
      </c>
      <c r="O170" s="3">
        <f t="shared" si="70"/>
        <v>0</v>
      </c>
      <c r="P170" s="3">
        <f t="shared" si="70"/>
        <v>0</v>
      </c>
      <c r="Q170" s="3">
        <f t="shared" si="70"/>
        <v>0</v>
      </c>
      <c r="R170" s="3">
        <f t="shared" si="70"/>
        <v>0</v>
      </c>
      <c r="S170" s="3">
        <f t="shared" si="70"/>
        <v>0</v>
      </c>
      <c r="T170" s="3">
        <f t="shared" si="70"/>
        <v>0</v>
      </c>
      <c r="U170" s="3">
        <f t="shared" si="70"/>
        <v>0</v>
      </c>
      <c r="V170" s="3">
        <f t="shared" si="70"/>
        <v>0</v>
      </c>
      <c r="W170" s="3">
        <f t="shared" si="70"/>
        <v>0</v>
      </c>
      <c r="X170" s="3">
        <f t="shared" si="70"/>
        <v>0</v>
      </c>
      <c r="Y170" s="3">
        <f t="shared" si="70"/>
        <v>0</v>
      </c>
      <c r="Z170" s="3">
        <f t="shared" si="70"/>
        <v>0</v>
      </c>
      <c r="AA170" s="3">
        <f t="shared" si="70"/>
        <v>0</v>
      </c>
      <c r="AB170" s="3">
        <f t="shared" si="70"/>
        <v>0</v>
      </c>
      <c r="AC170" s="3">
        <f t="shared" si="70"/>
        <v>0</v>
      </c>
      <c r="AD170" s="3">
        <f t="shared" si="70"/>
        <v>0</v>
      </c>
    </row>
    <row r="171" spans="3:30">
      <c r="C171" s="109" t="str">
        <f t="shared" si="54"/>
        <v>--</v>
      </c>
      <c r="D171" s="14"/>
      <c r="E171" s="123"/>
      <c r="F171" s="124" t="str">
        <f t="shared" si="55"/>
        <v xml:space="preserve"> </v>
      </c>
      <c r="G171" s="14"/>
      <c r="H171" s="124"/>
      <c r="I171" s="125"/>
      <c r="J171" s="126"/>
      <c r="K171" s="3">
        <f t="shared" ref="K171:AD171" si="71">IF(NOT(ISBLANK(K66)),$J66,0)</f>
        <v>0</v>
      </c>
      <c r="L171" s="3">
        <f t="shared" si="71"/>
        <v>0</v>
      </c>
      <c r="M171" s="3">
        <f t="shared" si="71"/>
        <v>0</v>
      </c>
      <c r="N171" s="3">
        <f t="shared" si="71"/>
        <v>0</v>
      </c>
      <c r="O171" s="3">
        <f t="shared" si="71"/>
        <v>0</v>
      </c>
      <c r="P171" s="3">
        <f t="shared" si="71"/>
        <v>0</v>
      </c>
      <c r="Q171" s="3">
        <f t="shared" si="71"/>
        <v>0</v>
      </c>
      <c r="R171" s="3">
        <f t="shared" si="71"/>
        <v>0</v>
      </c>
      <c r="S171" s="3">
        <f t="shared" si="71"/>
        <v>0</v>
      </c>
      <c r="T171" s="3">
        <f t="shared" si="71"/>
        <v>0</v>
      </c>
      <c r="U171" s="3">
        <f t="shared" si="71"/>
        <v>0</v>
      </c>
      <c r="V171" s="3">
        <f t="shared" si="71"/>
        <v>0</v>
      </c>
      <c r="W171" s="3">
        <f t="shared" si="71"/>
        <v>0</v>
      </c>
      <c r="X171" s="3">
        <f t="shared" si="71"/>
        <v>0</v>
      </c>
      <c r="Y171" s="3">
        <f t="shared" si="71"/>
        <v>0</v>
      </c>
      <c r="Z171" s="3">
        <f t="shared" si="71"/>
        <v>0</v>
      </c>
      <c r="AA171" s="3">
        <f t="shared" si="71"/>
        <v>0</v>
      </c>
      <c r="AB171" s="3">
        <f t="shared" si="71"/>
        <v>0</v>
      </c>
      <c r="AC171" s="3">
        <f t="shared" si="71"/>
        <v>0</v>
      </c>
      <c r="AD171" s="3">
        <f t="shared" si="71"/>
        <v>0</v>
      </c>
    </row>
    <row r="172" spans="3:30">
      <c r="C172" s="109" t="str">
        <f t="shared" si="54"/>
        <v>--</v>
      </c>
      <c r="D172" s="14"/>
      <c r="E172" s="123"/>
      <c r="F172" s="124" t="str">
        <f t="shared" si="55"/>
        <v xml:space="preserve"> </v>
      </c>
      <c r="G172" s="14"/>
      <c r="H172" s="124"/>
      <c r="I172" s="125"/>
      <c r="J172" s="126"/>
      <c r="K172" s="3">
        <f t="shared" ref="K172:AD172" si="72">IF(NOT(ISBLANK(K67)),$J67,0)</f>
        <v>0</v>
      </c>
      <c r="L172" s="3">
        <f t="shared" si="72"/>
        <v>0</v>
      </c>
      <c r="M172" s="3">
        <f t="shared" si="72"/>
        <v>0</v>
      </c>
      <c r="N172" s="3">
        <f t="shared" si="72"/>
        <v>0</v>
      </c>
      <c r="O172" s="3">
        <f t="shared" si="72"/>
        <v>0</v>
      </c>
      <c r="P172" s="3">
        <f t="shared" si="72"/>
        <v>0</v>
      </c>
      <c r="Q172" s="3">
        <f t="shared" si="72"/>
        <v>0</v>
      </c>
      <c r="R172" s="3">
        <f t="shared" si="72"/>
        <v>0</v>
      </c>
      <c r="S172" s="3">
        <f t="shared" si="72"/>
        <v>0</v>
      </c>
      <c r="T172" s="3">
        <f t="shared" si="72"/>
        <v>0</v>
      </c>
      <c r="U172" s="3">
        <f t="shared" si="72"/>
        <v>0</v>
      </c>
      <c r="V172" s="3">
        <f t="shared" si="72"/>
        <v>0</v>
      </c>
      <c r="W172" s="3">
        <f t="shared" si="72"/>
        <v>0</v>
      </c>
      <c r="X172" s="3">
        <f t="shared" si="72"/>
        <v>0</v>
      </c>
      <c r="Y172" s="3">
        <f t="shared" si="72"/>
        <v>0</v>
      </c>
      <c r="Z172" s="3">
        <f t="shared" si="72"/>
        <v>0</v>
      </c>
      <c r="AA172" s="3">
        <f t="shared" si="72"/>
        <v>0</v>
      </c>
      <c r="AB172" s="3">
        <f t="shared" si="72"/>
        <v>0</v>
      </c>
      <c r="AC172" s="3">
        <f t="shared" si="72"/>
        <v>0</v>
      </c>
      <c r="AD172" s="3">
        <f t="shared" si="72"/>
        <v>0</v>
      </c>
    </row>
    <row r="173" spans="3:30">
      <c r="C173" s="109" t="str">
        <f t="shared" si="54"/>
        <v>--</v>
      </c>
      <c r="D173" s="14"/>
      <c r="E173" s="123"/>
      <c r="F173" s="124" t="str">
        <f t="shared" si="55"/>
        <v xml:space="preserve"> </v>
      </c>
      <c r="G173" s="14"/>
      <c r="H173" s="124"/>
      <c r="I173" s="125"/>
      <c r="J173" s="126"/>
      <c r="K173" s="3">
        <f t="shared" ref="K173:AD173" si="73">IF(NOT(ISBLANK(K68)),$J68,0)</f>
        <v>0</v>
      </c>
      <c r="L173" s="3">
        <f t="shared" si="73"/>
        <v>0</v>
      </c>
      <c r="M173" s="3">
        <f t="shared" si="73"/>
        <v>0</v>
      </c>
      <c r="N173" s="3">
        <f t="shared" si="73"/>
        <v>0</v>
      </c>
      <c r="O173" s="3">
        <f t="shared" si="73"/>
        <v>0</v>
      </c>
      <c r="P173" s="3">
        <f t="shared" si="73"/>
        <v>0</v>
      </c>
      <c r="Q173" s="3">
        <f t="shared" si="73"/>
        <v>0</v>
      </c>
      <c r="R173" s="3">
        <f t="shared" si="73"/>
        <v>0</v>
      </c>
      <c r="S173" s="3">
        <f t="shared" si="73"/>
        <v>0</v>
      </c>
      <c r="T173" s="3">
        <f t="shared" si="73"/>
        <v>0</v>
      </c>
      <c r="U173" s="3">
        <f t="shared" si="73"/>
        <v>0</v>
      </c>
      <c r="V173" s="3">
        <f t="shared" si="73"/>
        <v>0</v>
      </c>
      <c r="W173" s="3">
        <f t="shared" si="73"/>
        <v>0</v>
      </c>
      <c r="X173" s="3">
        <f t="shared" si="73"/>
        <v>0</v>
      </c>
      <c r="Y173" s="3">
        <f t="shared" si="73"/>
        <v>0</v>
      </c>
      <c r="Z173" s="3">
        <f t="shared" si="73"/>
        <v>0</v>
      </c>
      <c r="AA173" s="3">
        <f t="shared" si="73"/>
        <v>0</v>
      </c>
      <c r="AB173" s="3">
        <f t="shared" si="73"/>
        <v>0</v>
      </c>
      <c r="AC173" s="3">
        <f t="shared" si="73"/>
        <v>0</v>
      </c>
      <c r="AD173" s="3">
        <f t="shared" si="73"/>
        <v>0</v>
      </c>
    </row>
    <row r="174" spans="3:30">
      <c r="C174" s="109" t="str">
        <f t="shared" si="54"/>
        <v>--</v>
      </c>
      <c r="D174" s="14"/>
      <c r="E174" s="123"/>
      <c r="F174" s="124" t="str">
        <f t="shared" si="55"/>
        <v xml:space="preserve"> </v>
      </c>
      <c r="G174" s="14"/>
      <c r="H174" s="124"/>
      <c r="I174" s="125"/>
      <c r="J174" s="126"/>
      <c r="K174" s="3">
        <f t="shared" ref="K174:AD174" si="74">IF(NOT(ISBLANK(K69)),$J69,0)</f>
        <v>0</v>
      </c>
      <c r="L174" s="3">
        <f t="shared" si="74"/>
        <v>0</v>
      </c>
      <c r="M174" s="3">
        <f t="shared" si="74"/>
        <v>0</v>
      </c>
      <c r="N174" s="3">
        <f t="shared" si="74"/>
        <v>0</v>
      </c>
      <c r="O174" s="3">
        <f t="shared" si="74"/>
        <v>0</v>
      </c>
      <c r="P174" s="3">
        <f t="shared" si="74"/>
        <v>0</v>
      </c>
      <c r="Q174" s="3">
        <f t="shared" si="74"/>
        <v>0</v>
      </c>
      <c r="R174" s="3">
        <f t="shared" si="74"/>
        <v>0</v>
      </c>
      <c r="S174" s="3">
        <f t="shared" si="74"/>
        <v>0</v>
      </c>
      <c r="T174" s="3">
        <f t="shared" si="74"/>
        <v>0</v>
      </c>
      <c r="U174" s="3">
        <f t="shared" si="74"/>
        <v>0</v>
      </c>
      <c r="V174" s="3">
        <f t="shared" si="74"/>
        <v>0</v>
      </c>
      <c r="W174" s="3">
        <f t="shared" si="74"/>
        <v>0</v>
      </c>
      <c r="X174" s="3">
        <f t="shared" si="74"/>
        <v>0</v>
      </c>
      <c r="Y174" s="3">
        <f t="shared" si="74"/>
        <v>0</v>
      </c>
      <c r="Z174" s="3">
        <f t="shared" si="74"/>
        <v>0</v>
      </c>
      <c r="AA174" s="3">
        <f t="shared" si="74"/>
        <v>0</v>
      </c>
      <c r="AB174" s="3">
        <f t="shared" si="74"/>
        <v>0</v>
      </c>
      <c r="AC174" s="3">
        <f t="shared" si="74"/>
        <v>0</v>
      </c>
      <c r="AD174" s="3">
        <f t="shared" si="74"/>
        <v>0</v>
      </c>
    </row>
    <row r="175" spans="3:30">
      <c r="C175" s="109" t="str">
        <f t="shared" si="54"/>
        <v>--</v>
      </c>
      <c r="D175" s="14"/>
      <c r="E175" s="123"/>
      <c r="F175" s="124" t="str">
        <f t="shared" si="55"/>
        <v xml:space="preserve"> </v>
      </c>
      <c r="G175" s="14"/>
      <c r="H175" s="124"/>
      <c r="I175" s="125"/>
      <c r="J175" s="126"/>
      <c r="K175" s="3">
        <f t="shared" ref="K175:AD175" si="75">IF(NOT(ISBLANK(K70)),$J70,0)</f>
        <v>0</v>
      </c>
      <c r="L175" s="3">
        <f t="shared" si="75"/>
        <v>0</v>
      </c>
      <c r="M175" s="3">
        <f t="shared" si="75"/>
        <v>0</v>
      </c>
      <c r="N175" s="3">
        <f t="shared" si="75"/>
        <v>0</v>
      </c>
      <c r="O175" s="3">
        <f t="shared" si="75"/>
        <v>0</v>
      </c>
      <c r="P175" s="3">
        <f t="shared" si="75"/>
        <v>0</v>
      </c>
      <c r="Q175" s="3">
        <f t="shared" si="75"/>
        <v>0</v>
      </c>
      <c r="R175" s="3">
        <f t="shared" si="75"/>
        <v>0</v>
      </c>
      <c r="S175" s="3">
        <f t="shared" si="75"/>
        <v>0</v>
      </c>
      <c r="T175" s="3">
        <f t="shared" si="75"/>
        <v>0</v>
      </c>
      <c r="U175" s="3">
        <f t="shared" si="75"/>
        <v>0</v>
      </c>
      <c r="V175" s="3">
        <f t="shared" si="75"/>
        <v>0</v>
      </c>
      <c r="W175" s="3">
        <f t="shared" si="75"/>
        <v>0</v>
      </c>
      <c r="X175" s="3">
        <f t="shared" si="75"/>
        <v>0</v>
      </c>
      <c r="Y175" s="3">
        <f t="shared" si="75"/>
        <v>0</v>
      </c>
      <c r="Z175" s="3">
        <f t="shared" si="75"/>
        <v>0</v>
      </c>
      <c r="AA175" s="3">
        <f t="shared" si="75"/>
        <v>0</v>
      </c>
      <c r="AB175" s="3">
        <f t="shared" si="75"/>
        <v>0</v>
      </c>
      <c r="AC175" s="3">
        <f t="shared" si="75"/>
        <v>0</v>
      </c>
      <c r="AD175" s="3">
        <f t="shared" si="75"/>
        <v>0</v>
      </c>
    </row>
    <row r="176" spans="3:30">
      <c r="C176" s="109" t="str">
        <f t="shared" si="54"/>
        <v>--</v>
      </c>
      <c r="D176" s="14"/>
      <c r="E176" s="123"/>
      <c r="F176" s="124" t="str">
        <f t="shared" si="55"/>
        <v xml:space="preserve"> </v>
      </c>
      <c r="G176" s="14"/>
      <c r="H176" s="124"/>
      <c r="I176" s="125"/>
      <c r="J176" s="126"/>
      <c r="K176" s="3">
        <f t="shared" ref="K176:AD176" si="76">IF(NOT(ISBLANK(K71)),$J71,0)</f>
        <v>0</v>
      </c>
      <c r="L176" s="3">
        <f t="shared" si="76"/>
        <v>0</v>
      </c>
      <c r="M176" s="3">
        <f t="shared" si="76"/>
        <v>0</v>
      </c>
      <c r="N176" s="3">
        <f t="shared" si="76"/>
        <v>0</v>
      </c>
      <c r="O176" s="3">
        <f t="shared" si="76"/>
        <v>0</v>
      </c>
      <c r="P176" s="3">
        <f t="shared" si="76"/>
        <v>0</v>
      </c>
      <c r="Q176" s="3">
        <f t="shared" si="76"/>
        <v>0</v>
      </c>
      <c r="R176" s="3">
        <f t="shared" si="76"/>
        <v>0</v>
      </c>
      <c r="S176" s="3">
        <f t="shared" si="76"/>
        <v>0</v>
      </c>
      <c r="T176" s="3">
        <f t="shared" si="76"/>
        <v>0</v>
      </c>
      <c r="U176" s="3">
        <f t="shared" si="76"/>
        <v>0</v>
      </c>
      <c r="V176" s="3">
        <f t="shared" si="76"/>
        <v>0</v>
      </c>
      <c r="W176" s="3">
        <f t="shared" si="76"/>
        <v>0</v>
      </c>
      <c r="X176" s="3">
        <f t="shared" si="76"/>
        <v>0</v>
      </c>
      <c r="Y176" s="3">
        <f t="shared" si="76"/>
        <v>0</v>
      </c>
      <c r="Z176" s="3">
        <f t="shared" si="76"/>
        <v>0</v>
      </c>
      <c r="AA176" s="3">
        <f t="shared" si="76"/>
        <v>0</v>
      </c>
      <c r="AB176" s="3">
        <f t="shared" si="76"/>
        <v>0</v>
      </c>
      <c r="AC176" s="3">
        <f t="shared" si="76"/>
        <v>0</v>
      </c>
      <c r="AD176" s="3">
        <f t="shared" si="76"/>
        <v>0</v>
      </c>
    </row>
    <row r="177" spans="3:30">
      <c r="C177" s="109" t="str">
        <f t="shared" si="54"/>
        <v>--</v>
      </c>
      <c r="D177" s="14"/>
      <c r="E177" s="123"/>
      <c r="F177" s="124" t="str">
        <f t="shared" si="55"/>
        <v xml:space="preserve"> </v>
      </c>
      <c r="G177" s="14"/>
      <c r="H177" s="124"/>
      <c r="I177" s="125"/>
      <c r="J177" s="126"/>
      <c r="K177" s="3">
        <f t="shared" ref="K177:AD177" si="77">IF(NOT(ISBLANK(K72)),$J72,0)</f>
        <v>0</v>
      </c>
      <c r="L177" s="3">
        <f t="shared" si="77"/>
        <v>0</v>
      </c>
      <c r="M177" s="3">
        <f t="shared" si="77"/>
        <v>0</v>
      </c>
      <c r="N177" s="3">
        <f t="shared" si="77"/>
        <v>0</v>
      </c>
      <c r="O177" s="3">
        <f t="shared" si="77"/>
        <v>0</v>
      </c>
      <c r="P177" s="3">
        <f t="shared" si="77"/>
        <v>0</v>
      </c>
      <c r="Q177" s="3">
        <f t="shared" si="77"/>
        <v>0</v>
      </c>
      <c r="R177" s="3">
        <f t="shared" si="77"/>
        <v>0</v>
      </c>
      <c r="S177" s="3">
        <f t="shared" si="77"/>
        <v>0</v>
      </c>
      <c r="T177" s="3">
        <f t="shared" si="77"/>
        <v>0</v>
      </c>
      <c r="U177" s="3">
        <f t="shared" si="77"/>
        <v>0</v>
      </c>
      <c r="V177" s="3">
        <f t="shared" si="77"/>
        <v>0</v>
      </c>
      <c r="W177" s="3">
        <f t="shared" si="77"/>
        <v>0</v>
      </c>
      <c r="X177" s="3">
        <f t="shared" si="77"/>
        <v>0</v>
      </c>
      <c r="Y177" s="3">
        <f t="shared" si="77"/>
        <v>0</v>
      </c>
      <c r="Z177" s="3">
        <f t="shared" si="77"/>
        <v>0</v>
      </c>
      <c r="AA177" s="3">
        <f t="shared" si="77"/>
        <v>0</v>
      </c>
      <c r="AB177" s="3">
        <f t="shared" si="77"/>
        <v>0</v>
      </c>
      <c r="AC177" s="3">
        <f t="shared" si="77"/>
        <v>0</v>
      </c>
      <c r="AD177" s="3">
        <f t="shared" si="77"/>
        <v>0</v>
      </c>
    </row>
  </sheetData>
  <mergeCells count="12">
    <mergeCell ref="AU1:AV1"/>
    <mergeCell ref="AU2:AV2"/>
    <mergeCell ref="C47:I48"/>
    <mergeCell ref="J47:J48"/>
    <mergeCell ref="C101:J102"/>
    <mergeCell ref="AA50:AD50"/>
    <mergeCell ref="C49:D49"/>
    <mergeCell ref="F49:J49"/>
    <mergeCell ref="K50:N50"/>
    <mergeCell ref="O50:R50"/>
    <mergeCell ref="S50:V50"/>
    <mergeCell ref="W50:Z50"/>
  </mergeCells>
  <pageMargins left="0.7" right="0.7" top="0.75" bottom="0.75" header="0.3" footer="0.3"/>
  <pageSetup orientation="portrait" r:id="rId1"/>
  <rowBreaks count="1" manualBreakCount="1">
    <brk id="42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4F1034-D100-4AA5-B01D-8B398C825FC0}">
          <x14:formula1>
            <xm:f>'Power Blocks'!$C$20:$C$31</xm:f>
          </x14:formula1>
          <xm:sqref>C51:C74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D429-11AE-4CB6-BE45-171F4C74AAA0}">
  <dimension ref="C1:AX176"/>
  <sheetViews>
    <sheetView zoomScale="78" zoomScaleNormal="78" workbookViewId="0">
      <selection activeCell="AG56" sqref="AG56"/>
    </sheetView>
  </sheetViews>
  <sheetFormatPr defaultColWidth="8.85546875" defaultRowHeight="15"/>
  <cols>
    <col min="1" max="1" width="3.42578125" customWidth="1"/>
    <col min="2" max="2" width="4.7109375" customWidth="1"/>
    <col min="3" max="3" width="9.140625" customWidth="1"/>
    <col min="4" max="4" width="6.140625" style="25" customWidth="1"/>
    <col min="5" max="5" width="12.28515625" style="78" customWidth="1"/>
    <col min="6" max="6" width="9.140625" style="51" customWidth="1"/>
    <col min="7" max="7" width="13" style="18" customWidth="1"/>
    <col min="8" max="8" width="10.140625" style="51" customWidth="1"/>
    <col min="9" max="9" width="9.42578125" style="54" customWidth="1"/>
    <col min="10" max="10" width="9.42578125" style="65" customWidth="1"/>
    <col min="11" max="39" width="7.140625" customWidth="1"/>
    <col min="41" max="41" width="10.42578125" customWidth="1"/>
    <col min="44" max="44" width="5.7109375" customWidth="1"/>
    <col min="47" max="47" width="10.42578125" style="18" customWidth="1"/>
    <col min="48" max="48" width="10.42578125" style="92" customWidth="1"/>
  </cols>
  <sheetData>
    <row r="1" spans="9:50" ht="9.9499999999999993" customHeight="1">
      <c r="I1" s="53"/>
      <c r="J1" s="64"/>
      <c r="AU1" s="214" t="s">
        <v>0</v>
      </c>
      <c r="AV1" s="214"/>
    </row>
    <row r="2" spans="9:50" ht="9.9499999999999993" customHeight="1">
      <c r="I2" s="53"/>
      <c r="J2" s="64"/>
      <c r="AO2" s="2"/>
      <c r="AU2" s="213" t="s">
        <v>1</v>
      </c>
      <c r="AV2" s="213"/>
    </row>
    <row r="3" spans="9:50" ht="9.9499999999999993" customHeight="1">
      <c r="I3" s="53"/>
      <c r="J3" s="64"/>
      <c r="AU3" s="15" t="s">
        <v>2</v>
      </c>
      <c r="AV3" s="52" t="s">
        <v>3</v>
      </c>
      <c r="AW3" s="3" t="s">
        <v>33</v>
      </c>
    </row>
    <row r="4" spans="9:50" ht="9.9499999999999993" customHeight="1">
      <c r="I4" s="53"/>
      <c r="J4" s="64"/>
      <c r="AU4" s="15">
        <v>2024</v>
      </c>
      <c r="AV4" s="52">
        <f>HLOOKUP(AU4,$K$47:$AD$48,2)</f>
        <v>0.29440000000000005</v>
      </c>
      <c r="AW4" s="52">
        <f>HLOOKUP($AU4,$K$45:$AD$46,2)</f>
        <v>0</v>
      </c>
    </row>
    <row r="5" spans="9:50" ht="9.9499999999999993" customHeight="1">
      <c r="I5" s="53"/>
      <c r="J5" s="64"/>
      <c r="AU5" s="15">
        <v>2024.25</v>
      </c>
      <c r="AV5" s="90">
        <f>AV4</f>
        <v>0.29440000000000005</v>
      </c>
      <c r="AW5" s="90">
        <f>AW4</f>
        <v>0</v>
      </c>
    </row>
    <row r="6" spans="9:50" ht="9.9499999999999993" customHeight="1">
      <c r="I6" s="53"/>
      <c r="J6" s="64"/>
      <c r="AU6" s="15">
        <v>2024.25</v>
      </c>
      <c r="AV6" s="52">
        <f>HLOOKUP(AU6,$K$47:$AD$48,2)</f>
        <v>0.29440000000000005</v>
      </c>
      <c r="AW6" s="52">
        <f>HLOOKUP($AU6,$K$45:$AD$46,2)</f>
        <v>0</v>
      </c>
    </row>
    <row r="7" spans="9:50" ht="9.9499999999999993" customHeight="1">
      <c r="I7" s="53"/>
      <c r="J7" s="64"/>
      <c r="AD7" s="15"/>
      <c r="AU7" s="15">
        <v>2024.5</v>
      </c>
      <c r="AV7" s="90">
        <f>AV6</f>
        <v>0.29440000000000005</v>
      </c>
      <c r="AW7" s="90">
        <f>AW6</f>
        <v>0</v>
      </c>
    </row>
    <row r="8" spans="9:50" ht="9.9499999999999993" customHeight="1">
      <c r="I8" s="53"/>
      <c r="J8" s="64"/>
      <c r="AU8" s="15">
        <v>2024.5</v>
      </c>
      <c r="AV8" s="52">
        <f>HLOOKUP(AU8,$K$47:$AD$48,2)</f>
        <v>0.29440000000000005</v>
      </c>
      <c r="AW8" s="52">
        <f>HLOOKUP($AU8,$K$45:$AD$46,2)</f>
        <v>0</v>
      </c>
    </row>
    <row r="9" spans="9:50" ht="9.9499999999999993" customHeight="1">
      <c r="AU9" s="15">
        <v>2024.75</v>
      </c>
      <c r="AV9" s="90">
        <f>AV8</f>
        <v>0.29440000000000005</v>
      </c>
      <c r="AW9" s="90">
        <f>AW8</f>
        <v>0</v>
      </c>
    </row>
    <row r="10" spans="9:50" ht="9.9499999999999993" customHeight="1">
      <c r="AU10" s="15">
        <v>2024.75</v>
      </c>
      <c r="AV10" s="52">
        <f>HLOOKUP(AU10,$K$47:$AD$48,2)</f>
        <v>0.29440000000000005</v>
      </c>
      <c r="AW10" s="52">
        <f>HLOOKUP($AU10,$K$45:$AD$46,2)</f>
        <v>0</v>
      </c>
    </row>
    <row r="11" spans="9:50" ht="9.9499999999999993" customHeight="1">
      <c r="AU11" s="15">
        <v>2025</v>
      </c>
      <c r="AV11" s="90">
        <f>AV10</f>
        <v>0.29440000000000005</v>
      </c>
      <c r="AW11" s="90">
        <f>AW10</f>
        <v>0</v>
      </c>
    </row>
    <row r="12" spans="9:50" ht="9.9499999999999993" customHeight="1">
      <c r="AU12" s="15">
        <v>2025</v>
      </c>
      <c r="AV12" s="52">
        <f>HLOOKUP(AU12,$K$47:$AD$48,2)</f>
        <v>0.29440000000000005</v>
      </c>
      <c r="AW12" s="52">
        <f>HLOOKUP($AU12,$K$45:$AD$46,2)</f>
        <v>0</v>
      </c>
      <c r="AX12" s="18"/>
    </row>
    <row r="13" spans="9:50" ht="9.9499999999999993" customHeight="1">
      <c r="AU13" s="15">
        <v>2025.25</v>
      </c>
      <c r="AV13" s="90">
        <f>AV12</f>
        <v>0.29440000000000005</v>
      </c>
      <c r="AW13" s="90">
        <f>AW12</f>
        <v>0</v>
      </c>
    </row>
    <row r="14" spans="9:50" ht="9.9499999999999993" customHeight="1">
      <c r="AU14" s="15">
        <v>2025.25</v>
      </c>
      <c r="AV14" s="52">
        <f>HLOOKUP(AU14,$K$47:$AD$48,2)</f>
        <v>0.29440000000000005</v>
      </c>
      <c r="AW14" s="52">
        <f>HLOOKUP($AU14,$K$45:$AD$46,2)</f>
        <v>0</v>
      </c>
    </row>
    <row r="15" spans="9:50" ht="9.9499999999999993" customHeight="1">
      <c r="AU15" s="15">
        <v>2025.5</v>
      </c>
      <c r="AV15" s="90">
        <f>AV14</f>
        <v>0.29440000000000005</v>
      </c>
      <c r="AW15" s="90">
        <f>AW14</f>
        <v>0</v>
      </c>
    </row>
    <row r="16" spans="9:50" ht="9.9499999999999993" customHeight="1">
      <c r="AU16" s="15">
        <v>2025.5</v>
      </c>
      <c r="AV16" s="52">
        <f>HLOOKUP(AU16,$K$47:$AD$48,2)</f>
        <v>0.35898571428571435</v>
      </c>
      <c r="AW16" s="52">
        <f>HLOOKUP($AU16,$K$45:$AD$46,2)</f>
        <v>0</v>
      </c>
    </row>
    <row r="17" spans="3:49" ht="9.9499999999999993" customHeight="1">
      <c r="AU17" s="15">
        <v>2025.75</v>
      </c>
      <c r="AV17" s="90">
        <f>AV16</f>
        <v>0.35898571428571435</v>
      </c>
      <c r="AW17" s="90">
        <f>AW16</f>
        <v>0</v>
      </c>
    </row>
    <row r="18" spans="3:49" ht="9.9499999999999993" customHeight="1">
      <c r="AU18" s="15">
        <v>2025.75</v>
      </c>
      <c r="AV18" s="52">
        <f>HLOOKUP(AU18,$K$47:$AD$48,2)</f>
        <v>0.35898571428571435</v>
      </c>
      <c r="AW18" s="52">
        <f>HLOOKUP($AU18,$K$45:$AD$46,2)</f>
        <v>0</v>
      </c>
    </row>
    <row r="19" spans="3:49" ht="9.9499999999999993" customHeight="1">
      <c r="C19" s="17"/>
      <c r="AU19" s="15">
        <v>2026</v>
      </c>
      <c r="AV19" s="90">
        <f>AV18</f>
        <v>0.35898571428571435</v>
      </c>
      <c r="AW19" s="90">
        <f>AW18</f>
        <v>0</v>
      </c>
    </row>
    <row r="20" spans="3:49" ht="9.9499999999999993" customHeight="1">
      <c r="AU20" s="15">
        <v>2026</v>
      </c>
      <c r="AV20" s="52">
        <f>HLOOKUP(AU20,$K$47:$AD$48,2)</f>
        <v>0.35898571428571435</v>
      </c>
      <c r="AW20" s="52">
        <f>HLOOKUP($AU20,$K$45:$AD$46,2)</f>
        <v>0</v>
      </c>
    </row>
    <row r="21" spans="3:49" ht="9.9499999999999993" customHeight="1">
      <c r="AU21" s="15">
        <v>2026.25</v>
      </c>
      <c r="AV21" s="90">
        <f>AV20</f>
        <v>0.35898571428571435</v>
      </c>
      <c r="AW21" s="90">
        <f>AW20</f>
        <v>0</v>
      </c>
    </row>
    <row r="22" spans="3:49" ht="9.9499999999999993" customHeight="1">
      <c r="AU22" s="15">
        <v>2026.25</v>
      </c>
      <c r="AV22" s="52">
        <f>HLOOKUP(AU22,$K$47:$AD$48,2)</f>
        <v>0.35898571428571435</v>
      </c>
      <c r="AW22" s="52">
        <f>HLOOKUP($AU22,$K$45:$AD$46,2)</f>
        <v>0</v>
      </c>
    </row>
    <row r="23" spans="3:49" ht="9.9499999999999993" customHeight="1">
      <c r="AU23" s="15">
        <v>2026.5</v>
      </c>
      <c r="AV23" s="90">
        <f>AV22</f>
        <v>0.35898571428571435</v>
      </c>
      <c r="AW23" s="90">
        <f>AW22</f>
        <v>0</v>
      </c>
    </row>
    <row r="24" spans="3:49" ht="9.9499999999999993" customHeight="1">
      <c r="AU24" s="15">
        <v>2026.5</v>
      </c>
      <c r="AV24" s="52">
        <f>HLOOKUP(AU24,$K$47:$AD$48,2)</f>
        <v>0.35898571428571435</v>
      </c>
      <c r="AW24" s="52">
        <f>HLOOKUP($AU24,$K$45:$AD$46,2)</f>
        <v>0</v>
      </c>
    </row>
    <row r="25" spans="3:49" ht="9.9499999999999993" customHeight="1">
      <c r="AU25" s="15">
        <v>2026.75</v>
      </c>
      <c r="AV25" s="90">
        <f>AV24</f>
        <v>0.35898571428571435</v>
      </c>
      <c r="AW25" s="90">
        <f>AW24</f>
        <v>0</v>
      </c>
    </row>
    <row r="26" spans="3:49" ht="9.9499999999999993" customHeight="1">
      <c r="AU26" s="15">
        <v>2026.75</v>
      </c>
      <c r="AV26" s="52">
        <f>HLOOKUP(AU26,$K$47:$AD$48,2)</f>
        <v>0.35898571428571435</v>
      </c>
      <c r="AW26" s="52">
        <f>HLOOKUP($AU26,$K$45:$AD$46,2)</f>
        <v>0</v>
      </c>
    </row>
    <row r="27" spans="3:49" ht="9.9499999999999993" customHeight="1">
      <c r="AU27" s="15">
        <v>2027</v>
      </c>
      <c r="AV27" s="90">
        <f>AV26</f>
        <v>0.35898571428571435</v>
      </c>
      <c r="AW27" s="90">
        <f>AW26</f>
        <v>0</v>
      </c>
    </row>
    <row r="28" spans="3:49" ht="9.9499999999999993" customHeight="1">
      <c r="AU28" s="15">
        <v>2027</v>
      </c>
      <c r="AV28" s="52">
        <f>HLOOKUP(AU28,$K$47:$AD$48,2)</f>
        <v>0.35898571428571435</v>
      </c>
      <c r="AW28" s="52">
        <f>HLOOKUP($AU28,$K$45:$AD$46,2)</f>
        <v>0</v>
      </c>
    </row>
    <row r="29" spans="3:49" ht="9.9499999999999993" customHeight="1">
      <c r="AU29" s="15">
        <v>2027.25</v>
      </c>
      <c r="AV29" s="90">
        <f>AV28</f>
        <v>0.35898571428571435</v>
      </c>
      <c r="AW29" s="90">
        <f>AW28</f>
        <v>0</v>
      </c>
    </row>
    <row r="30" spans="3:49" ht="9.9499999999999993" customHeight="1">
      <c r="AU30" s="15">
        <v>2027.25</v>
      </c>
      <c r="AV30" s="52">
        <f>HLOOKUP(AU30,$K$47:$AD$48,2)</f>
        <v>0.35898571428571435</v>
      </c>
      <c r="AW30" s="52">
        <f>HLOOKUP($AU30,$K$45:$AD$46,2)</f>
        <v>0</v>
      </c>
    </row>
    <row r="31" spans="3:49" ht="9.9499999999999993" customHeight="1">
      <c r="AU31" s="15">
        <v>2027.5</v>
      </c>
      <c r="AV31" s="90">
        <f>AV30</f>
        <v>0.35898571428571435</v>
      </c>
      <c r="AW31" s="90">
        <f>AW30</f>
        <v>0</v>
      </c>
    </row>
    <row r="32" spans="3:49" ht="9.9499999999999993" customHeight="1">
      <c r="AU32" s="15">
        <v>2027.5</v>
      </c>
      <c r="AV32" s="52">
        <f>HLOOKUP(AU32,$K$47:$AD$48,2)</f>
        <v>0.35898571428571435</v>
      </c>
      <c r="AW32" s="52">
        <f>HLOOKUP($AU32,$K$45:$AD$46,2)</f>
        <v>0</v>
      </c>
    </row>
    <row r="33" spans="3:49" ht="9.9499999999999993" customHeight="1">
      <c r="AU33" s="15">
        <v>2027.75</v>
      </c>
      <c r="AV33" s="90">
        <f>AV32</f>
        <v>0.35898571428571435</v>
      </c>
      <c r="AW33" s="90">
        <f>AW32</f>
        <v>0</v>
      </c>
    </row>
    <row r="34" spans="3:49" ht="9.9499999999999993" customHeight="1">
      <c r="AU34" s="15">
        <v>2027.75</v>
      </c>
      <c r="AV34" s="52">
        <f>HLOOKUP(AU34,$K$47:$AD$48,2)</f>
        <v>0.35898571428571435</v>
      </c>
      <c r="AW34" s="52">
        <f>HLOOKUP($AU34,$K$45:$AD$46,2)</f>
        <v>0</v>
      </c>
    </row>
    <row r="35" spans="3:49" ht="9.9499999999999993" customHeight="1">
      <c r="AU35" s="15">
        <v>2028</v>
      </c>
      <c r="AV35" s="90">
        <f>AV34</f>
        <v>0.35898571428571435</v>
      </c>
      <c r="AW35" s="90">
        <f>AW34</f>
        <v>0</v>
      </c>
    </row>
    <row r="36" spans="3:49" ht="9.9499999999999993" customHeight="1">
      <c r="AU36" s="61">
        <v>2028</v>
      </c>
      <c r="AV36" s="91">
        <f>HLOOKUP(AU36,$K$47:$AD$48,2)</f>
        <v>0.35898571428571435</v>
      </c>
      <c r="AW36" s="52">
        <f>HLOOKUP($AU36,$K$45:$AD$46,2)</f>
        <v>0</v>
      </c>
    </row>
    <row r="37" spans="3:49" ht="9.9499999999999993" customHeight="1">
      <c r="AU37" s="15">
        <v>2028.25</v>
      </c>
      <c r="AV37" s="90">
        <f>AV36</f>
        <v>0.35898571428571435</v>
      </c>
      <c r="AW37" s="90">
        <f>AW36</f>
        <v>0</v>
      </c>
    </row>
    <row r="38" spans="3:49" ht="9.9499999999999993" customHeight="1">
      <c r="AU38" s="15">
        <v>2028.25</v>
      </c>
      <c r="AV38" s="52">
        <f>HLOOKUP(AU38,$K$47:$AD$48,2)</f>
        <v>0.35898571428571435</v>
      </c>
      <c r="AW38" s="52">
        <f>HLOOKUP($AU38,$K$45:$AD$46,2)</f>
        <v>0</v>
      </c>
    </row>
    <row r="39" spans="3:49" ht="9.9499999999999993" customHeight="1">
      <c r="AU39" s="15">
        <v>2028.5</v>
      </c>
      <c r="AV39" s="90">
        <f>AV38</f>
        <v>0.35898571428571435</v>
      </c>
      <c r="AW39" s="90">
        <f>AW38</f>
        <v>0</v>
      </c>
    </row>
    <row r="40" spans="3:49" ht="9.9499999999999993" customHeight="1">
      <c r="AU40" s="15">
        <v>2028.5</v>
      </c>
      <c r="AV40" s="52">
        <f>HLOOKUP(AU40,$K$47:$AD$48,2)</f>
        <v>0.35898571428571435</v>
      </c>
      <c r="AW40" s="52">
        <f>HLOOKUP($AU40,$K$45:$AD$46,2)</f>
        <v>0</v>
      </c>
    </row>
    <row r="41" spans="3:49" ht="9.9499999999999993" customHeight="1">
      <c r="I41" s="53"/>
      <c r="J41" s="64"/>
      <c r="AU41" s="15">
        <v>2028.75</v>
      </c>
      <c r="AV41" s="90">
        <f>AV40</f>
        <v>0.35898571428571435</v>
      </c>
      <c r="AW41" s="90">
        <f>AW40</f>
        <v>0</v>
      </c>
    </row>
    <row r="42" spans="3:49" ht="9.9499999999999993" customHeight="1">
      <c r="I42" s="231"/>
      <c r="J42" s="6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U42" s="15">
        <v>2028.75</v>
      </c>
      <c r="AV42" s="52">
        <f>HLOOKUP(AU42,$K$47:$AD$48,2)</f>
        <v>0.35898571428571435</v>
      </c>
      <c r="AW42" s="52">
        <f>HLOOKUP($AU42,$K$45:$AD$46,2)</f>
        <v>0</v>
      </c>
    </row>
    <row r="43" spans="3:49" ht="9.9499999999999993" customHeight="1">
      <c r="I43" s="231"/>
      <c r="J43" s="66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spans="3:49" ht="9.9499999999999993" customHeight="1">
      <c r="I44" s="231"/>
      <c r="J44" s="66"/>
    </row>
    <row r="45" spans="3:49">
      <c r="I45" s="231"/>
      <c r="J45" s="66"/>
      <c r="K45" s="151">
        <v>2024</v>
      </c>
      <c r="L45" s="151">
        <v>2024.25</v>
      </c>
      <c r="M45" s="151">
        <v>2024.5</v>
      </c>
      <c r="N45" s="151">
        <v>2024.75</v>
      </c>
      <c r="O45" s="151">
        <v>2025</v>
      </c>
      <c r="P45" s="151">
        <v>2025.25</v>
      </c>
      <c r="Q45" s="151">
        <f t="shared" ref="Q45:AD45" si="0">P45+0.25</f>
        <v>2025.5</v>
      </c>
      <c r="R45" s="151">
        <f t="shared" si="0"/>
        <v>2025.75</v>
      </c>
      <c r="S45" s="151">
        <f t="shared" si="0"/>
        <v>2026</v>
      </c>
      <c r="T45" s="151">
        <f t="shared" si="0"/>
        <v>2026.25</v>
      </c>
      <c r="U45" s="151">
        <f t="shared" si="0"/>
        <v>2026.5</v>
      </c>
      <c r="V45" s="151">
        <f t="shared" si="0"/>
        <v>2026.75</v>
      </c>
      <c r="W45" s="151">
        <f t="shared" si="0"/>
        <v>2027</v>
      </c>
      <c r="X45" s="151">
        <f t="shared" si="0"/>
        <v>2027.25</v>
      </c>
      <c r="Y45" s="151">
        <f t="shared" si="0"/>
        <v>2027.5</v>
      </c>
      <c r="Z45" s="151">
        <f t="shared" si="0"/>
        <v>2027.75</v>
      </c>
      <c r="AA45" s="151">
        <f t="shared" si="0"/>
        <v>2028</v>
      </c>
      <c r="AB45" s="151">
        <f t="shared" si="0"/>
        <v>2028.25</v>
      </c>
      <c r="AC45" s="151">
        <f t="shared" si="0"/>
        <v>2028.5</v>
      </c>
      <c r="AD45" s="151">
        <f t="shared" si="0"/>
        <v>2028.75</v>
      </c>
    </row>
    <row r="46" spans="3:49" ht="15.95" thickBot="1">
      <c r="I46" s="55"/>
      <c r="J46" s="147" t="s">
        <v>33</v>
      </c>
      <c r="K46" s="148">
        <v>0</v>
      </c>
      <c r="L46" s="148">
        <v>0</v>
      </c>
      <c r="M46" s="148">
        <v>0</v>
      </c>
      <c r="N46" s="148">
        <v>0</v>
      </c>
      <c r="O46" s="148">
        <v>0</v>
      </c>
      <c r="P46" s="148">
        <v>0</v>
      </c>
      <c r="Q46" s="148">
        <v>0</v>
      </c>
      <c r="R46" s="148">
        <v>0</v>
      </c>
      <c r="S46" s="148">
        <v>0</v>
      </c>
      <c r="T46" s="148">
        <v>0</v>
      </c>
      <c r="U46" s="148">
        <v>0</v>
      </c>
      <c r="V46" s="148">
        <v>0</v>
      </c>
      <c r="W46" s="148">
        <v>0</v>
      </c>
      <c r="X46" s="148">
        <v>0</v>
      </c>
      <c r="Y46" s="148">
        <v>0</v>
      </c>
      <c r="Z46" s="148">
        <v>0</v>
      </c>
      <c r="AA46" s="148">
        <v>0</v>
      </c>
      <c r="AB46" s="148">
        <v>0</v>
      </c>
      <c r="AC46" s="148">
        <v>0</v>
      </c>
      <c r="AD46" s="148">
        <v>0</v>
      </c>
    </row>
    <row r="47" spans="3:49" ht="14.45" customHeight="1">
      <c r="C47" s="220" t="s">
        <v>10</v>
      </c>
      <c r="D47" s="221"/>
      <c r="E47" s="221"/>
      <c r="F47" s="221"/>
      <c r="G47" s="221"/>
      <c r="H47" s="221"/>
      <c r="I47" s="222"/>
      <c r="J47" s="219" t="s">
        <v>34</v>
      </c>
      <c r="K47" s="76">
        <v>2024</v>
      </c>
      <c r="L47" s="76">
        <v>2024.25</v>
      </c>
      <c r="M47" s="76">
        <v>2024.5</v>
      </c>
      <c r="N47" s="76">
        <v>2024.75</v>
      </c>
      <c r="O47" s="76">
        <v>2025</v>
      </c>
      <c r="P47" s="76">
        <v>2025.25</v>
      </c>
      <c r="Q47" s="76">
        <f t="shared" ref="Q47:AD47" si="1">P47+0.25</f>
        <v>2025.5</v>
      </c>
      <c r="R47" s="76">
        <f t="shared" si="1"/>
        <v>2025.75</v>
      </c>
      <c r="S47" s="76">
        <f t="shared" si="1"/>
        <v>2026</v>
      </c>
      <c r="T47" s="76">
        <f t="shared" si="1"/>
        <v>2026.25</v>
      </c>
      <c r="U47" s="76">
        <f t="shared" si="1"/>
        <v>2026.5</v>
      </c>
      <c r="V47" s="76">
        <f t="shared" si="1"/>
        <v>2026.75</v>
      </c>
      <c r="W47" s="76">
        <f t="shared" si="1"/>
        <v>2027</v>
      </c>
      <c r="X47" s="76">
        <f t="shared" si="1"/>
        <v>2027.25</v>
      </c>
      <c r="Y47" s="76">
        <f t="shared" si="1"/>
        <v>2027.5</v>
      </c>
      <c r="Z47" s="76">
        <f t="shared" si="1"/>
        <v>2027.75</v>
      </c>
      <c r="AA47" s="76">
        <f t="shared" si="1"/>
        <v>2028</v>
      </c>
      <c r="AB47" s="76">
        <f t="shared" si="1"/>
        <v>2028.25</v>
      </c>
      <c r="AC47" s="76">
        <f t="shared" si="1"/>
        <v>2028.5</v>
      </c>
      <c r="AD47" s="76">
        <f t="shared" si="1"/>
        <v>2028.75</v>
      </c>
      <c r="AE47" s="25"/>
      <c r="AF47" s="25"/>
      <c r="AG47" s="25"/>
      <c r="AH47" s="25"/>
      <c r="AI47" s="25"/>
      <c r="AJ47" s="25"/>
      <c r="AK47" s="25"/>
      <c r="AL47" s="25"/>
      <c r="AM47" s="25"/>
    </row>
    <row r="48" spans="3:49" s="18" customFormat="1" ht="14.45" customHeight="1" thickBot="1">
      <c r="C48" s="223"/>
      <c r="D48" s="224"/>
      <c r="E48" s="224"/>
      <c r="F48" s="224"/>
      <c r="G48" s="224"/>
      <c r="H48" s="224"/>
      <c r="I48" s="225"/>
      <c r="J48" s="219"/>
      <c r="K48" s="89">
        <f>SUM(K51:K74)</f>
        <v>0.29440000000000005</v>
      </c>
      <c r="L48" s="89">
        <f t="shared" ref="L48:AD48" si="2">SUM(L51:L74)</f>
        <v>0.29440000000000005</v>
      </c>
      <c r="M48" s="89">
        <f t="shared" si="2"/>
        <v>0.29440000000000005</v>
      </c>
      <c r="N48" s="89">
        <f t="shared" si="2"/>
        <v>0.29440000000000005</v>
      </c>
      <c r="O48" s="89">
        <f t="shared" si="2"/>
        <v>0.29440000000000005</v>
      </c>
      <c r="P48" s="89">
        <f t="shared" si="2"/>
        <v>0.29440000000000005</v>
      </c>
      <c r="Q48" s="89">
        <f t="shared" si="2"/>
        <v>0.35898571428571435</v>
      </c>
      <c r="R48" s="89">
        <f t="shared" si="2"/>
        <v>0.35898571428571435</v>
      </c>
      <c r="S48" s="89">
        <f t="shared" si="2"/>
        <v>0.35898571428571435</v>
      </c>
      <c r="T48" s="89">
        <f t="shared" si="2"/>
        <v>0.35898571428571435</v>
      </c>
      <c r="U48" s="89">
        <f t="shared" si="2"/>
        <v>0.35898571428571435</v>
      </c>
      <c r="V48" s="89">
        <f t="shared" si="2"/>
        <v>0.35898571428571435</v>
      </c>
      <c r="W48" s="89">
        <f t="shared" si="2"/>
        <v>0.35898571428571435</v>
      </c>
      <c r="X48" s="89">
        <f t="shared" si="2"/>
        <v>0.35898571428571435</v>
      </c>
      <c r="Y48" s="89">
        <f t="shared" si="2"/>
        <v>0.35898571428571435</v>
      </c>
      <c r="Z48" s="89">
        <f t="shared" si="2"/>
        <v>0.35898571428571435</v>
      </c>
      <c r="AA48" s="89">
        <f t="shared" si="2"/>
        <v>0.35898571428571435</v>
      </c>
      <c r="AB48" s="89">
        <f t="shared" si="2"/>
        <v>0.35898571428571435</v>
      </c>
      <c r="AC48" s="89">
        <f t="shared" si="2"/>
        <v>0.35898571428571435</v>
      </c>
      <c r="AD48" s="60">
        <f t="shared" si="2"/>
        <v>0.35898571428571435</v>
      </c>
      <c r="AV48" s="92"/>
    </row>
    <row r="49" spans="3:48" ht="15.95" thickBot="1">
      <c r="C49" s="227" t="s">
        <v>35</v>
      </c>
      <c r="D49" s="227"/>
      <c r="E49" s="79"/>
      <c r="F49" s="228" t="s">
        <v>36</v>
      </c>
      <c r="G49" s="229"/>
      <c r="H49" s="229"/>
      <c r="I49" s="229"/>
      <c r="J49" s="230"/>
    </row>
    <row r="50" spans="3:48" s="2" customFormat="1" ht="15.95" thickBot="1">
      <c r="C50" s="70" t="s">
        <v>37</v>
      </c>
      <c r="D50" s="71" t="s">
        <v>38</v>
      </c>
      <c r="E50" s="71" t="s">
        <v>39</v>
      </c>
      <c r="F50" s="68" t="s">
        <v>40</v>
      </c>
      <c r="G50" s="68" t="s">
        <v>41</v>
      </c>
      <c r="H50" s="68" t="s">
        <v>3</v>
      </c>
      <c r="I50" s="69" t="s">
        <v>42</v>
      </c>
      <c r="J50" s="74" t="s">
        <v>43</v>
      </c>
      <c r="K50" s="215">
        <v>2024</v>
      </c>
      <c r="L50" s="216"/>
      <c r="M50" s="216"/>
      <c r="N50" s="217"/>
      <c r="O50" s="215">
        <v>2025</v>
      </c>
      <c r="P50" s="216"/>
      <c r="Q50" s="216"/>
      <c r="R50" s="217"/>
      <c r="S50" s="215">
        <v>2026</v>
      </c>
      <c r="T50" s="216"/>
      <c r="U50" s="216"/>
      <c r="V50" s="217"/>
      <c r="W50" s="215">
        <v>2027</v>
      </c>
      <c r="X50" s="216"/>
      <c r="Y50" s="216"/>
      <c r="Z50" s="217"/>
      <c r="AA50" s="215">
        <v>2028</v>
      </c>
      <c r="AB50" s="216"/>
      <c r="AC50" s="216"/>
      <c r="AD50" s="217"/>
      <c r="AU50" s="51"/>
      <c r="AV50" s="93"/>
    </row>
    <row r="51" spans="3:48" ht="14.45" customHeight="1">
      <c r="C51" s="72" t="s">
        <v>46</v>
      </c>
      <c r="D51" s="73">
        <v>150</v>
      </c>
      <c r="E51" s="77" t="s">
        <v>75</v>
      </c>
      <c r="F51" s="56" t="str">
        <f>_xlfn.XLOOKUP($C51,'Power Blocks'!$C$20:$C$31,'Power Blocks'!$D$20:$D$31,,)</f>
        <v>CPU</v>
      </c>
      <c r="G51" s="57">
        <f>IF(F51=" "," ",D51/_xlfn.XLOOKUP($C51,'Power Blocks'!$C$20:$C$31,'Power Blocks'!$I$20:$I$31,,))</f>
        <v>1.5</v>
      </c>
      <c r="H51" s="58">
        <f>IF(F51=" "," ",_xlfn.XLOOKUP($C51,'Power Blocks'!$C$20:$C$31,'Power Blocks'!$J$20:$J$31,,)*$G51)</f>
        <v>0.15000000000000002</v>
      </c>
      <c r="I51" s="59">
        <f>IF(F51=" "," ",_xlfn.XLOOKUP($C51,'Power Blocks'!$C$20:$C$31,'Power Blocks'!$K$20:$K$31,,)/1000*$G51)</f>
        <v>1500</v>
      </c>
      <c r="J51" s="67">
        <f>IF(F51=" "," ",_xlfn.XLOOKUP($C51,'Power Blocks'!$C$20:$C$31,'Power Blocks'!$M$20:$M$31,,)*$G51)</f>
        <v>19200</v>
      </c>
      <c r="K51" s="75">
        <f t="shared" ref="K51:AA55" si="3">$H51</f>
        <v>0.15000000000000002</v>
      </c>
      <c r="L51" s="75">
        <f t="shared" si="3"/>
        <v>0.15000000000000002</v>
      </c>
      <c r="M51" s="75">
        <f t="shared" si="3"/>
        <v>0.15000000000000002</v>
      </c>
      <c r="N51" s="75">
        <f t="shared" si="3"/>
        <v>0.15000000000000002</v>
      </c>
      <c r="O51" s="75">
        <f t="shared" si="3"/>
        <v>0.15000000000000002</v>
      </c>
      <c r="P51" s="75">
        <f t="shared" si="3"/>
        <v>0.15000000000000002</v>
      </c>
      <c r="Q51" s="75">
        <f t="shared" si="3"/>
        <v>0.15000000000000002</v>
      </c>
      <c r="R51" s="75">
        <f t="shared" si="3"/>
        <v>0.15000000000000002</v>
      </c>
      <c r="S51" s="75">
        <f t="shared" si="3"/>
        <v>0.15000000000000002</v>
      </c>
      <c r="T51" s="75">
        <f t="shared" si="3"/>
        <v>0.15000000000000002</v>
      </c>
      <c r="U51" s="75">
        <f t="shared" si="3"/>
        <v>0.15000000000000002</v>
      </c>
      <c r="V51" s="75">
        <f t="shared" si="3"/>
        <v>0.15000000000000002</v>
      </c>
      <c r="W51" s="75">
        <f t="shared" si="3"/>
        <v>0.15000000000000002</v>
      </c>
      <c r="X51" s="75">
        <f t="shared" si="3"/>
        <v>0.15000000000000002</v>
      </c>
      <c r="Y51" s="75">
        <f t="shared" si="3"/>
        <v>0.15000000000000002</v>
      </c>
      <c r="Z51" s="75">
        <f t="shared" si="3"/>
        <v>0.15000000000000002</v>
      </c>
      <c r="AA51" s="75">
        <f t="shared" si="3"/>
        <v>0.15000000000000002</v>
      </c>
      <c r="AB51" s="75">
        <f t="shared" ref="Q51:AD59" si="4">$H51</f>
        <v>0.15000000000000002</v>
      </c>
      <c r="AC51" s="75">
        <f t="shared" si="4"/>
        <v>0.15000000000000002</v>
      </c>
      <c r="AD51" s="75">
        <f t="shared" si="4"/>
        <v>0.15000000000000002</v>
      </c>
      <c r="AE51" s="13"/>
      <c r="AF51" s="13"/>
      <c r="AG51" s="13"/>
      <c r="AH51" s="13"/>
      <c r="AI51" s="13"/>
      <c r="AJ51" s="13"/>
      <c r="AK51" s="13"/>
      <c r="AL51" s="13"/>
      <c r="AM51" s="13"/>
    </row>
    <row r="52" spans="3:48" ht="14.45" customHeight="1">
      <c r="C52" s="72" t="s">
        <v>48</v>
      </c>
      <c r="D52" s="73">
        <v>6</v>
      </c>
      <c r="E52" s="77" t="s">
        <v>75</v>
      </c>
      <c r="F52" s="56" t="str">
        <f>_xlfn.XLOOKUP($C52,'Power Blocks'!$C$20:$C$31,'Power Blocks'!$D$20:$D$31,,)</f>
        <v>GPU</v>
      </c>
      <c r="G52" s="57">
        <f>IF(F52=" "," ",D52/_xlfn.XLOOKUP($C52,'Power Blocks'!$C$20:$C$31,'Power Blocks'!$I$20:$I$31,,))</f>
        <v>0.3</v>
      </c>
      <c r="H52" s="58">
        <f>IF(F52=" "," ",_xlfn.XLOOKUP($C52,'Power Blocks'!$C$20:$C$31,'Power Blocks'!$J$20:$J$31,,)*$G52)</f>
        <v>0.03</v>
      </c>
      <c r="I52" s="59">
        <f>IF(F52=" "," ",_xlfn.XLOOKUP($C52,'Power Blocks'!$C$20:$C$31,'Power Blocks'!$K$20:$K$31,,)/1000*$G52)</f>
        <v>120</v>
      </c>
      <c r="J52" s="67">
        <f>IF(F52=" "," ",_xlfn.XLOOKUP($C52,'Power Blocks'!$C$20:$C$31,'Power Blocks'!$M$20:$M$31,,)*$G52)</f>
        <v>24</v>
      </c>
      <c r="K52" s="75">
        <f t="shared" si="3"/>
        <v>0.03</v>
      </c>
      <c r="L52" s="75">
        <f t="shared" si="3"/>
        <v>0.03</v>
      </c>
      <c r="M52" s="75">
        <f t="shared" si="3"/>
        <v>0.03</v>
      </c>
      <c r="N52" s="75">
        <f t="shared" si="3"/>
        <v>0.03</v>
      </c>
      <c r="O52" s="75">
        <f t="shared" si="3"/>
        <v>0.03</v>
      </c>
      <c r="P52" s="75">
        <f t="shared" si="3"/>
        <v>0.03</v>
      </c>
      <c r="Q52" s="75">
        <f t="shared" si="3"/>
        <v>0.03</v>
      </c>
      <c r="R52" s="75">
        <f t="shared" si="3"/>
        <v>0.03</v>
      </c>
      <c r="S52" s="75">
        <f t="shared" si="3"/>
        <v>0.03</v>
      </c>
      <c r="T52" s="75">
        <f t="shared" si="3"/>
        <v>0.03</v>
      </c>
      <c r="U52" s="75">
        <f t="shared" si="3"/>
        <v>0.03</v>
      </c>
      <c r="V52" s="75">
        <f t="shared" si="3"/>
        <v>0.03</v>
      </c>
      <c r="W52" s="75">
        <f t="shared" si="3"/>
        <v>0.03</v>
      </c>
      <c r="X52" s="75">
        <f t="shared" si="3"/>
        <v>0.03</v>
      </c>
      <c r="Y52" s="75">
        <f t="shared" si="3"/>
        <v>0.03</v>
      </c>
      <c r="Z52" s="75">
        <f t="shared" si="3"/>
        <v>0.03</v>
      </c>
      <c r="AA52" s="75">
        <f t="shared" si="4"/>
        <v>0.03</v>
      </c>
      <c r="AB52" s="75">
        <f t="shared" si="4"/>
        <v>0.03</v>
      </c>
      <c r="AC52" s="75">
        <f t="shared" si="4"/>
        <v>0.03</v>
      </c>
      <c r="AD52" s="75">
        <f t="shared" si="4"/>
        <v>0.03</v>
      </c>
      <c r="AE52" s="13"/>
      <c r="AF52" s="13"/>
      <c r="AG52" s="13"/>
      <c r="AH52" s="13"/>
      <c r="AI52" s="13"/>
      <c r="AJ52" s="13"/>
      <c r="AK52" s="13"/>
      <c r="AL52" s="13"/>
      <c r="AM52" s="13"/>
    </row>
    <row r="53" spans="3:48" ht="14.45" customHeight="1">
      <c r="C53" s="72" t="s">
        <v>50</v>
      </c>
      <c r="D53" s="73">
        <v>140</v>
      </c>
      <c r="E53" s="77" t="s">
        <v>75</v>
      </c>
      <c r="F53" s="56" t="str">
        <f>_xlfn.XLOOKUP($C53,'Power Blocks'!$C$20:$C$31,'Power Blocks'!$D$20:$D$31,,)</f>
        <v>Hdisk</v>
      </c>
      <c r="G53" s="57">
        <f>IF(F53=" "," ",D53/_xlfn.XLOOKUP($C53,'Power Blocks'!$C$20:$C$31,'Power Blocks'!$I$20:$I$31,,))</f>
        <v>1</v>
      </c>
      <c r="H53" s="58">
        <f>IF(F53=" "," ",_xlfn.XLOOKUP($C53,'Power Blocks'!$C$20:$C$31,'Power Blocks'!$J$20:$J$31,,)*$G53)</f>
        <v>0.1</v>
      </c>
      <c r="I53" s="59">
        <f>IF(F53=" "," ",_xlfn.XLOOKUP($C53,'Power Blocks'!$C$20:$C$31,'Power Blocks'!$K$20:$K$31,,)/1000*$G53)</f>
        <v>3999.94</v>
      </c>
      <c r="J53" s="67">
        <f>IF(F53=" "," ",_xlfn.XLOOKUP($C53,'Power Blocks'!$C$20:$C$31,'Power Blocks'!$M$20:$M$31,,)*$G53)</f>
        <v>74.2</v>
      </c>
      <c r="K53" s="75">
        <f t="shared" si="3"/>
        <v>0.1</v>
      </c>
      <c r="L53" s="75">
        <f t="shared" si="3"/>
        <v>0.1</v>
      </c>
      <c r="M53" s="75">
        <f t="shared" si="3"/>
        <v>0.1</v>
      </c>
      <c r="N53" s="75">
        <f t="shared" si="3"/>
        <v>0.1</v>
      </c>
      <c r="O53" s="75">
        <f t="shared" si="3"/>
        <v>0.1</v>
      </c>
      <c r="P53" s="75">
        <f t="shared" si="3"/>
        <v>0.1</v>
      </c>
      <c r="Q53" s="75">
        <f t="shared" si="3"/>
        <v>0.1</v>
      </c>
      <c r="R53" s="75">
        <f t="shared" si="3"/>
        <v>0.1</v>
      </c>
      <c r="S53" s="75">
        <f t="shared" si="3"/>
        <v>0.1</v>
      </c>
      <c r="T53" s="75">
        <f t="shared" si="3"/>
        <v>0.1</v>
      </c>
      <c r="U53" s="75">
        <f t="shared" si="3"/>
        <v>0.1</v>
      </c>
      <c r="V53" s="75">
        <f t="shared" si="3"/>
        <v>0.1</v>
      </c>
      <c r="W53" s="75">
        <f t="shared" si="3"/>
        <v>0.1</v>
      </c>
      <c r="X53" s="75">
        <f t="shared" si="3"/>
        <v>0.1</v>
      </c>
      <c r="Y53" s="75">
        <f t="shared" si="3"/>
        <v>0.1</v>
      </c>
      <c r="Z53" s="75">
        <f t="shared" si="3"/>
        <v>0.1</v>
      </c>
      <c r="AA53" s="75">
        <f t="shared" si="4"/>
        <v>0.1</v>
      </c>
      <c r="AB53" s="75">
        <f t="shared" si="4"/>
        <v>0.1</v>
      </c>
      <c r="AC53" s="75">
        <f t="shared" si="4"/>
        <v>0.1</v>
      </c>
      <c r="AD53" s="75">
        <f t="shared" si="4"/>
        <v>0.1</v>
      </c>
      <c r="AE53" s="13"/>
      <c r="AF53" s="13"/>
      <c r="AG53" s="13"/>
      <c r="AH53" s="13"/>
      <c r="AI53" s="13"/>
      <c r="AJ53" s="13"/>
      <c r="AK53" s="13"/>
      <c r="AL53" s="13"/>
      <c r="AM53" s="13"/>
    </row>
    <row r="54" spans="3:48" ht="14.45" customHeight="1">
      <c r="C54" s="72" t="s">
        <v>51</v>
      </c>
      <c r="D54" s="73">
        <v>18</v>
      </c>
      <c r="E54" s="77" t="s">
        <v>75</v>
      </c>
      <c r="F54" s="56" t="str">
        <f>_xlfn.XLOOKUP($C54,'Power Blocks'!$C$20:$C$31,'Power Blocks'!$D$20:$D$31,,)</f>
        <v>Sdisk</v>
      </c>
      <c r="G54" s="57">
        <f>IF(F54=" "," ",D54/_xlfn.XLOOKUP($C54,'Power Blocks'!$C$20:$C$31,'Power Blocks'!$I$20:$I$31,,))</f>
        <v>0.14399999999999999</v>
      </c>
      <c r="H54" s="58">
        <f>IF(F54=" "," ",_xlfn.XLOOKUP($C54,'Power Blocks'!$C$20:$C$31,'Power Blocks'!$J$20:$J$31,,)*$G54)</f>
        <v>1.44E-2</v>
      </c>
      <c r="I54" s="59">
        <f>IF(F54=" "," ",_xlfn.XLOOKUP($C54,'Power Blocks'!$C$20:$C$31,'Power Blocks'!$K$20:$K$31,,)/1000*$G54)</f>
        <v>755.99999999999989</v>
      </c>
      <c r="J54" s="67">
        <f>IF(F54=" "," ",_xlfn.XLOOKUP($C54,'Power Blocks'!$C$20:$C$31,'Power Blocks'!$M$20:$M$31,,)*$G54)</f>
        <v>5.3999999999999995</v>
      </c>
      <c r="K54" s="75">
        <f t="shared" si="3"/>
        <v>1.44E-2</v>
      </c>
      <c r="L54" s="75">
        <f t="shared" si="3"/>
        <v>1.44E-2</v>
      </c>
      <c r="M54" s="75">
        <f t="shared" si="3"/>
        <v>1.44E-2</v>
      </c>
      <c r="N54" s="75">
        <f t="shared" si="3"/>
        <v>1.44E-2</v>
      </c>
      <c r="O54" s="75">
        <f t="shared" si="3"/>
        <v>1.44E-2</v>
      </c>
      <c r="P54" s="75">
        <f t="shared" si="3"/>
        <v>1.44E-2</v>
      </c>
      <c r="Q54" s="75">
        <f t="shared" si="3"/>
        <v>1.44E-2</v>
      </c>
      <c r="R54" s="75">
        <f t="shared" si="3"/>
        <v>1.44E-2</v>
      </c>
      <c r="S54" s="75">
        <f t="shared" si="3"/>
        <v>1.44E-2</v>
      </c>
      <c r="T54" s="75">
        <f t="shared" si="3"/>
        <v>1.44E-2</v>
      </c>
      <c r="U54" s="75">
        <f t="shared" si="3"/>
        <v>1.44E-2</v>
      </c>
      <c r="V54" s="75">
        <f t="shared" si="3"/>
        <v>1.44E-2</v>
      </c>
      <c r="W54" s="75">
        <f t="shared" si="3"/>
        <v>1.44E-2</v>
      </c>
      <c r="X54" s="75">
        <f t="shared" si="3"/>
        <v>1.44E-2</v>
      </c>
      <c r="Y54" s="75">
        <f t="shared" si="3"/>
        <v>1.44E-2</v>
      </c>
      <c r="Z54" s="75">
        <f t="shared" si="3"/>
        <v>1.44E-2</v>
      </c>
      <c r="AA54" s="75">
        <f t="shared" si="4"/>
        <v>1.44E-2</v>
      </c>
      <c r="AB54" s="75">
        <f t="shared" si="4"/>
        <v>1.44E-2</v>
      </c>
      <c r="AC54" s="75">
        <f t="shared" si="4"/>
        <v>1.44E-2</v>
      </c>
      <c r="AD54" s="75">
        <f t="shared" si="4"/>
        <v>1.44E-2</v>
      </c>
      <c r="AE54" s="13"/>
      <c r="AF54" s="13"/>
      <c r="AG54" s="13"/>
      <c r="AH54" s="13"/>
      <c r="AI54" s="13"/>
      <c r="AJ54" s="13"/>
      <c r="AK54" s="13"/>
      <c r="AL54" s="13"/>
      <c r="AM54" s="13"/>
    </row>
    <row r="55" spans="3:48" ht="14.45" customHeight="1">
      <c r="C55" s="72" t="s">
        <v>55</v>
      </c>
      <c r="D55" s="73">
        <v>4</v>
      </c>
      <c r="E55" s="73" t="s">
        <v>57</v>
      </c>
      <c r="F55" s="56" t="str">
        <f>_xlfn.XLOOKUP($C55,'Power Blocks'!$C$20:$C$31,'Power Blocks'!$D$20:$D$31,,)</f>
        <v>GPU</v>
      </c>
      <c r="G55" s="57">
        <f>IF(F55=" "," ",D55/_xlfn.XLOOKUP($C55,'Power Blocks'!$C$20:$C$31,'Power Blocks'!$I$20:$I$31,,))</f>
        <v>0.25</v>
      </c>
      <c r="H55" s="58">
        <f>IF(F55=" "," ",_xlfn.XLOOKUP($C55,'Power Blocks'!$C$20:$C$31,'Power Blocks'!$J$20:$J$31,,)*$G55)</f>
        <v>2.5000000000000001E-2</v>
      </c>
      <c r="I55" s="59">
        <f>IF(F55=" "," ",_xlfn.XLOOKUP($C55,'Power Blocks'!$C$20:$C$31,'Power Blocks'!$K$20:$K$31,,)/1000*$G55)</f>
        <v>428</v>
      </c>
      <c r="J55" s="67">
        <f>IF(F55=" "," ",_xlfn.XLOOKUP($C55,'Power Blocks'!$C$20:$C$31,'Power Blocks'!$M$20:$M$31,,)*$G55)</f>
        <v>16</v>
      </c>
      <c r="K55" s="3"/>
      <c r="L55" s="3"/>
      <c r="M55" s="3"/>
      <c r="N55" s="3"/>
      <c r="O55" s="3"/>
      <c r="P55" s="3"/>
      <c r="Q55" s="75">
        <f t="shared" si="3"/>
        <v>2.5000000000000001E-2</v>
      </c>
      <c r="R55" s="75">
        <f t="shared" si="3"/>
        <v>2.5000000000000001E-2</v>
      </c>
      <c r="S55" s="75">
        <f t="shared" si="3"/>
        <v>2.5000000000000001E-2</v>
      </c>
      <c r="T55" s="75">
        <f t="shared" si="3"/>
        <v>2.5000000000000001E-2</v>
      </c>
      <c r="U55" s="75">
        <f t="shared" si="3"/>
        <v>2.5000000000000001E-2</v>
      </c>
      <c r="V55" s="75">
        <f t="shared" si="3"/>
        <v>2.5000000000000001E-2</v>
      </c>
      <c r="W55" s="75">
        <f t="shared" si="3"/>
        <v>2.5000000000000001E-2</v>
      </c>
      <c r="X55" s="75">
        <f t="shared" si="3"/>
        <v>2.5000000000000001E-2</v>
      </c>
      <c r="Y55" s="75">
        <f t="shared" si="3"/>
        <v>2.5000000000000001E-2</v>
      </c>
      <c r="Z55" s="75">
        <f t="shared" si="3"/>
        <v>2.5000000000000001E-2</v>
      </c>
      <c r="AA55" s="75">
        <f t="shared" si="3"/>
        <v>2.5000000000000001E-2</v>
      </c>
      <c r="AB55" s="75">
        <f t="shared" si="4"/>
        <v>2.5000000000000001E-2</v>
      </c>
      <c r="AC55" s="75">
        <f t="shared" si="4"/>
        <v>2.5000000000000001E-2</v>
      </c>
      <c r="AD55" s="75">
        <f t="shared" si="4"/>
        <v>2.5000000000000001E-2</v>
      </c>
      <c r="AE55" s="13"/>
      <c r="AF55" s="13"/>
      <c r="AG55" s="13"/>
      <c r="AH55" s="13"/>
      <c r="AI55" s="13"/>
      <c r="AJ55" s="13"/>
      <c r="AK55" s="13"/>
      <c r="AL55" s="13"/>
      <c r="AM55" s="13"/>
    </row>
    <row r="56" spans="3:48" ht="14.45" customHeight="1">
      <c r="C56" s="72" t="s">
        <v>44</v>
      </c>
      <c r="D56" s="73">
        <v>10</v>
      </c>
      <c r="E56" s="73" t="s">
        <v>57</v>
      </c>
      <c r="F56" s="56" t="str">
        <f>_xlfn.XLOOKUP($C56,'Power Blocks'!$C$20:$C$31,'Power Blocks'!$D$20:$D$31,,)</f>
        <v>CPU</v>
      </c>
      <c r="G56" s="57">
        <f>IF(F56=" "," ",D56/_xlfn.XLOOKUP($C56,'Power Blocks'!$C$20:$C$31,'Power Blocks'!$I$20:$I$31,,))</f>
        <v>0.125</v>
      </c>
      <c r="H56" s="58">
        <f>IF(F56=" "," ",_xlfn.XLOOKUP($C56,'Power Blocks'!$C$20:$C$31,'Power Blocks'!$J$20:$J$31,,)*$G56)</f>
        <v>1.2500000000000001E-2</v>
      </c>
      <c r="I56" s="59">
        <f>IF(F56=" "," ",_xlfn.XLOOKUP($C56,'Power Blocks'!$C$20:$C$31,'Power Blocks'!$K$20:$K$31,,)/1000*$G56)</f>
        <v>150</v>
      </c>
      <c r="J56" s="67">
        <f>IF(F56=" "," ",_xlfn.XLOOKUP($C56,'Power Blocks'!$C$20:$C$31,'Power Blocks'!$M$20:$M$31,,)*$G56)</f>
        <v>2560</v>
      </c>
      <c r="K56" s="3"/>
      <c r="L56" s="3"/>
      <c r="M56" s="3"/>
      <c r="N56" s="3"/>
      <c r="O56" s="3"/>
      <c r="P56" s="3"/>
      <c r="Q56" s="75">
        <f t="shared" si="4"/>
        <v>1.2500000000000001E-2</v>
      </c>
      <c r="R56" s="75">
        <f t="shared" si="4"/>
        <v>1.2500000000000001E-2</v>
      </c>
      <c r="S56" s="75">
        <f t="shared" si="4"/>
        <v>1.2500000000000001E-2</v>
      </c>
      <c r="T56" s="75">
        <f t="shared" si="4"/>
        <v>1.2500000000000001E-2</v>
      </c>
      <c r="U56" s="75">
        <f t="shared" si="4"/>
        <v>1.2500000000000001E-2</v>
      </c>
      <c r="V56" s="75">
        <f t="shared" si="4"/>
        <v>1.2500000000000001E-2</v>
      </c>
      <c r="W56" s="75">
        <f t="shared" si="4"/>
        <v>1.2500000000000001E-2</v>
      </c>
      <c r="X56" s="75">
        <f t="shared" si="4"/>
        <v>1.2500000000000001E-2</v>
      </c>
      <c r="Y56" s="75">
        <f t="shared" si="4"/>
        <v>1.2500000000000001E-2</v>
      </c>
      <c r="Z56" s="75">
        <f t="shared" si="4"/>
        <v>1.2500000000000001E-2</v>
      </c>
      <c r="AA56" s="75">
        <f t="shared" si="4"/>
        <v>1.2500000000000001E-2</v>
      </c>
      <c r="AB56" s="75">
        <f t="shared" si="4"/>
        <v>1.2500000000000001E-2</v>
      </c>
      <c r="AC56" s="75">
        <f t="shared" si="4"/>
        <v>1.2500000000000001E-2</v>
      </c>
      <c r="AD56" s="75">
        <f t="shared" si="4"/>
        <v>1.2500000000000001E-2</v>
      </c>
      <c r="AE56" s="13"/>
      <c r="AF56" s="13"/>
      <c r="AG56" s="13"/>
      <c r="AH56" s="13"/>
      <c r="AI56" s="13"/>
      <c r="AJ56" s="13"/>
      <c r="AK56" s="13"/>
      <c r="AL56" s="13"/>
      <c r="AM56" s="13"/>
    </row>
    <row r="57" spans="3:48" ht="14.45" customHeight="1">
      <c r="C57" s="72" t="s">
        <v>50</v>
      </c>
      <c r="D57" s="73">
        <v>20</v>
      </c>
      <c r="E57" s="73" t="s">
        <v>57</v>
      </c>
      <c r="F57" s="56" t="str">
        <f>_xlfn.XLOOKUP($C57,'Power Blocks'!$C$20:$C$31,'Power Blocks'!$D$20:$D$31,,)</f>
        <v>Hdisk</v>
      </c>
      <c r="G57" s="57">
        <f>IF(F57=" "," ",D57/_xlfn.XLOOKUP($C57,'Power Blocks'!$C$20:$C$31,'Power Blocks'!$I$20:$I$31,,))</f>
        <v>0.14285714285714285</v>
      </c>
      <c r="H57" s="58">
        <f>IF(F57=" "," ",_xlfn.XLOOKUP($C57,'Power Blocks'!$C$20:$C$31,'Power Blocks'!$J$20:$J$31,,)*$G57)</f>
        <v>1.4285714285714285E-2</v>
      </c>
      <c r="I57" s="59">
        <f>IF(F57=" "," ",_xlfn.XLOOKUP($C57,'Power Blocks'!$C$20:$C$31,'Power Blocks'!$K$20:$K$31,,)/1000*$G57)</f>
        <v>571.41999999999996</v>
      </c>
      <c r="J57" s="67">
        <f>IF(F57=" "," ",_xlfn.XLOOKUP($C57,'Power Blocks'!$C$20:$C$31,'Power Blocks'!$M$20:$M$31,,)*$G57)</f>
        <v>10.6</v>
      </c>
      <c r="K57" s="3"/>
      <c r="L57" s="3"/>
      <c r="M57" s="3"/>
      <c r="N57" s="3"/>
      <c r="O57" s="3"/>
      <c r="P57" s="3"/>
      <c r="Q57" s="75">
        <f t="shared" si="4"/>
        <v>1.4285714285714285E-2</v>
      </c>
      <c r="R57" s="75">
        <f t="shared" si="4"/>
        <v>1.4285714285714285E-2</v>
      </c>
      <c r="S57" s="75">
        <f t="shared" si="4"/>
        <v>1.4285714285714285E-2</v>
      </c>
      <c r="T57" s="75">
        <f t="shared" si="4"/>
        <v>1.4285714285714285E-2</v>
      </c>
      <c r="U57" s="75">
        <f t="shared" si="4"/>
        <v>1.4285714285714285E-2</v>
      </c>
      <c r="V57" s="75">
        <f t="shared" si="4"/>
        <v>1.4285714285714285E-2</v>
      </c>
      <c r="W57" s="75">
        <f t="shared" si="4"/>
        <v>1.4285714285714285E-2</v>
      </c>
      <c r="X57" s="75">
        <f t="shared" si="4"/>
        <v>1.4285714285714285E-2</v>
      </c>
      <c r="Y57" s="75">
        <f t="shared" si="4"/>
        <v>1.4285714285714285E-2</v>
      </c>
      <c r="Z57" s="75">
        <f t="shared" si="4"/>
        <v>1.4285714285714285E-2</v>
      </c>
      <c r="AA57" s="75">
        <f t="shared" si="4"/>
        <v>1.4285714285714285E-2</v>
      </c>
      <c r="AB57" s="75">
        <f t="shared" si="4"/>
        <v>1.4285714285714285E-2</v>
      </c>
      <c r="AC57" s="75">
        <f t="shared" si="4"/>
        <v>1.4285714285714285E-2</v>
      </c>
      <c r="AD57" s="75">
        <f t="shared" si="4"/>
        <v>1.4285714285714285E-2</v>
      </c>
      <c r="AE57" s="13"/>
      <c r="AF57" s="13"/>
      <c r="AG57" s="13"/>
      <c r="AH57" s="13"/>
      <c r="AI57" s="13"/>
      <c r="AJ57" s="13"/>
      <c r="AK57" s="13"/>
      <c r="AL57" s="13"/>
      <c r="AM57" s="13"/>
    </row>
    <row r="58" spans="3:48" ht="14.45" customHeight="1">
      <c r="C58" s="72" t="s">
        <v>51</v>
      </c>
      <c r="D58" s="73">
        <v>16</v>
      </c>
      <c r="E58" s="73" t="s">
        <v>57</v>
      </c>
      <c r="F58" s="56" t="str">
        <f>_xlfn.XLOOKUP($C58,'Power Blocks'!$C$20:$C$31,'Power Blocks'!$D$20:$D$31,,)</f>
        <v>Sdisk</v>
      </c>
      <c r="G58" s="57">
        <f>IF(F58=" "," ",D58/_xlfn.XLOOKUP($C58,'Power Blocks'!$C$20:$C$31,'Power Blocks'!$I$20:$I$31,,))</f>
        <v>0.128</v>
      </c>
      <c r="H58" s="58">
        <f>IF(F58=" "," ",_xlfn.XLOOKUP($C58,'Power Blocks'!$C$20:$C$31,'Power Blocks'!$J$20:$J$31,,)*$G58)</f>
        <v>1.2800000000000001E-2</v>
      </c>
      <c r="I58" s="59">
        <f>IF(F58=" "," ",_xlfn.XLOOKUP($C58,'Power Blocks'!$C$20:$C$31,'Power Blocks'!$K$20:$K$31,,)/1000*$G58)</f>
        <v>672</v>
      </c>
      <c r="J58" s="67">
        <f>IF(F58=" "," ",_xlfn.XLOOKUP($C58,'Power Blocks'!$C$20:$C$31,'Power Blocks'!$M$20:$M$31,,)*$G58)</f>
        <v>4.8</v>
      </c>
      <c r="K58" s="3"/>
      <c r="L58" s="3"/>
      <c r="M58" s="3"/>
      <c r="N58" s="3"/>
      <c r="O58" s="3"/>
      <c r="P58" s="3"/>
      <c r="Q58" s="75">
        <f t="shared" si="4"/>
        <v>1.2800000000000001E-2</v>
      </c>
      <c r="R58" s="75">
        <f t="shared" si="4"/>
        <v>1.2800000000000001E-2</v>
      </c>
      <c r="S58" s="75">
        <f t="shared" si="4"/>
        <v>1.2800000000000001E-2</v>
      </c>
      <c r="T58" s="75">
        <f t="shared" si="4"/>
        <v>1.2800000000000001E-2</v>
      </c>
      <c r="U58" s="75">
        <f t="shared" si="4"/>
        <v>1.2800000000000001E-2</v>
      </c>
      <c r="V58" s="75">
        <f t="shared" si="4"/>
        <v>1.2800000000000001E-2</v>
      </c>
      <c r="W58" s="75">
        <f t="shared" si="4"/>
        <v>1.2800000000000001E-2</v>
      </c>
      <c r="X58" s="75">
        <f t="shared" si="4"/>
        <v>1.2800000000000001E-2</v>
      </c>
      <c r="Y58" s="75">
        <f t="shared" si="4"/>
        <v>1.2800000000000001E-2</v>
      </c>
      <c r="Z58" s="75">
        <f t="shared" si="4"/>
        <v>1.2800000000000001E-2</v>
      </c>
      <c r="AA58" s="75">
        <f t="shared" si="4"/>
        <v>1.2800000000000001E-2</v>
      </c>
      <c r="AB58" s="75">
        <f t="shared" si="4"/>
        <v>1.2800000000000001E-2</v>
      </c>
      <c r="AC58" s="75">
        <f t="shared" si="4"/>
        <v>1.2800000000000001E-2</v>
      </c>
      <c r="AD58" s="75">
        <f t="shared" si="4"/>
        <v>1.2800000000000001E-2</v>
      </c>
      <c r="AE58" s="13"/>
      <c r="AF58" s="13"/>
      <c r="AG58" s="13"/>
      <c r="AH58" s="13"/>
      <c r="AI58" s="13"/>
      <c r="AJ58" s="13"/>
      <c r="AK58" s="13"/>
      <c r="AL58" s="13"/>
      <c r="AM58" s="13"/>
    </row>
    <row r="59" spans="3:48" ht="14.45" customHeight="1">
      <c r="C59" s="72" t="s">
        <v>58</v>
      </c>
      <c r="D59" s="73" t="s">
        <v>59</v>
      </c>
      <c r="E59" s="73" t="s">
        <v>59</v>
      </c>
      <c r="F59" s="56" t="str">
        <f>_xlfn.XLOOKUP($C59,'Power Blocks'!$C$20:$C$31,'Power Blocks'!$D$20:$D$31,,)</f>
        <v xml:space="preserve"> </v>
      </c>
      <c r="G59" s="57" t="str">
        <f>IF(F59=" "," ",D59/_xlfn.XLOOKUP($C59,'Power Blocks'!$C$20:$C$31,'Power Blocks'!$I$20:$I$31,,))</f>
        <v xml:space="preserve"> </v>
      </c>
      <c r="H59" s="58" t="str">
        <f>IF(F59=" "," ",_xlfn.XLOOKUP($C59,'Power Blocks'!$C$20:$C$31,'Power Blocks'!$J$20:$J$31,,)*$G59)</f>
        <v xml:space="preserve"> </v>
      </c>
      <c r="I59" s="59" t="str">
        <f>IF(F59=" "," ",_xlfn.XLOOKUP($C59,'Power Blocks'!$C$20:$C$31,'Power Blocks'!$K$20:$K$31,,)/1000*$G59)</f>
        <v xml:space="preserve"> </v>
      </c>
      <c r="J59" s="67" t="str">
        <f>IF(F59=" "," ",_xlfn.XLOOKUP($C59,'Power Blocks'!$C$20:$C$31,'Power Blocks'!$M$20:$M$31,,)*$G59)</f>
        <v xml:space="preserve"> </v>
      </c>
      <c r="K59" s="3"/>
      <c r="L59" s="3"/>
      <c r="M59" s="3"/>
      <c r="N59" s="3"/>
      <c r="O59" s="3"/>
      <c r="P59" s="3"/>
      <c r="Q59" s="3"/>
      <c r="R59" s="3"/>
      <c r="S59" s="75" t="str">
        <f t="shared" si="4"/>
        <v xml:space="preserve"> </v>
      </c>
      <c r="T59" s="75" t="str">
        <f t="shared" si="4"/>
        <v xml:space="preserve"> </v>
      </c>
      <c r="U59" s="75" t="str">
        <f t="shared" si="4"/>
        <v xml:space="preserve"> </v>
      </c>
      <c r="V59" s="75" t="str">
        <f t="shared" si="4"/>
        <v xml:space="preserve"> </v>
      </c>
      <c r="W59" s="75" t="str">
        <f t="shared" si="4"/>
        <v xml:space="preserve"> </v>
      </c>
      <c r="X59" s="75" t="str">
        <f t="shared" si="4"/>
        <v xml:space="preserve"> </v>
      </c>
      <c r="Y59" s="75" t="str">
        <f t="shared" si="4"/>
        <v xml:space="preserve"> </v>
      </c>
      <c r="Z59" s="75" t="str">
        <f t="shared" si="4"/>
        <v xml:space="preserve"> </v>
      </c>
      <c r="AA59" s="75" t="str">
        <f t="shared" si="4"/>
        <v xml:space="preserve"> </v>
      </c>
      <c r="AB59" s="75" t="str">
        <f t="shared" si="4"/>
        <v xml:space="preserve"> </v>
      </c>
      <c r="AC59" s="75" t="str">
        <f t="shared" si="4"/>
        <v xml:space="preserve"> </v>
      </c>
      <c r="AD59" s="75" t="str">
        <f t="shared" si="4"/>
        <v xml:space="preserve"> </v>
      </c>
    </row>
    <row r="60" spans="3:48" ht="14.45" customHeight="1">
      <c r="C60" s="72" t="s">
        <v>58</v>
      </c>
      <c r="D60" s="73" t="s">
        <v>59</v>
      </c>
      <c r="E60" s="73" t="s">
        <v>59</v>
      </c>
      <c r="F60" s="56" t="str">
        <f>_xlfn.XLOOKUP($C60,'Power Blocks'!$C$20:$C$31,'Power Blocks'!$D$20:$D$31,,)</f>
        <v xml:space="preserve"> </v>
      </c>
      <c r="G60" s="57" t="str">
        <f>IF(F60=" "," ",D60/_xlfn.XLOOKUP($C60,'Power Blocks'!$C$20:$C$31,'Power Blocks'!$I$20:$I$31,,))</f>
        <v xml:space="preserve"> </v>
      </c>
      <c r="H60" s="58" t="str">
        <f>IF(F60=" "," ",_xlfn.XLOOKUP($C60,'Power Blocks'!$C$20:$C$31,'Power Blocks'!$J$20:$J$31,,)*$G60)</f>
        <v xml:space="preserve"> </v>
      </c>
      <c r="I60" s="59" t="str">
        <f>IF(F60=" "," ",_xlfn.XLOOKUP($C60,'Power Blocks'!$C$20:$C$31,'Power Blocks'!$K$20:$K$31,,)/1000*$G60)</f>
        <v xml:space="preserve"> </v>
      </c>
      <c r="J60" s="67" t="str">
        <f>IF(F60=" "," ",_xlfn.XLOOKUP($C60,'Power Blocks'!$C$20:$C$31,'Power Blocks'!$M$20:$M$31,,)*$G60)</f>
        <v xml:space="preserve"> 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3:48">
      <c r="C61" s="72" t="s">
        <v>58</v>
      </c>
      <c r="D61" s="73" t="s">
        <v>59</v>
      </c>
      <c r="E61" s="73" t="s">
        <v>59</v>
      </c>
      <c r="F61" s="56" t="str">
        <f>_xlfn.XLOOKUP($C61,'Power Blocks'!$C$20:$C$31,'Power Blocks'!$D$20:$D$31,,)</f>
        <v xml:space="preserve"> </v>
      </c>
      <c r="G61" s="57" t="str">
        <f>IF(F61=" "," ",D61/_xlfn.XLOOKUP($C61,'Power Blocks'!$C$20:$C$31,'Power Blocks'!$I$20:$I$31,,))</f>
        <v xml:space="preserve"> </v>
      </c>
      <c r="H61" s="58" t="str">
        <f>IF(F61=" "," ",_xlfn.XLOOKUP($C61,'Power Blocks'!$C$20:$C$31,'Power Blocks'!$J$20:$J$31,,)*$G61)</f>
        <v xml:space="preserve"> </v>
      </c>
      <c r="I61" s="59" t="str">
        <f>IF(F61=" "," ",_xlfn.XLOOKUP($C61,'Power Blocks'!$C$20:$C$31,'Power Blocks'!$K$20:$K$31,,)/1000*$G61)</f>
        <v xml:space="preserve"> </v>
      </c>
      <c r="J61" s="67" t="str">
        <f>IF(F61=" "," ",_xlfn.XLOOKUP($C61,'Power Blocks'!$C$20:$C$31,'Power Blocks'!$M$20:$M$31,,)*$G61)</f>
        <v xml:space="preserve"> 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3:48">
      <c r="C62" s="72" t="s">
        <v>58</v>
      </c>
      <c r="D62" s="73" t="s">
        <v>59</v>
      </c>
      <c r="E62" s="73" t="s">
        <v>59</v>
      </c>
      <c r="F62" s="56" t="str">
        <f>_xlfn.XLOOKUP($C62,'Power Blocks'!$C$20:$C$31,'Power Blocks'!$D$20:$D$31,,)</f>
        <v xml:space="preserve"> </v>
      </c>
      <c r="G62" s="57" t="str">
        <f>IF(F62=" "," ",D62/_xlfn.XLOOKUP($C62,'Power Blocks'!$C$20:$C$31,'Power Blocks'!$I$20:$I$31,,))</f>
        <v xml:space="preserve"> </v>
      </c>
      <c r="H62" s="58" t="str">
        <f>IF(F62=" "," ",_xlfn.XLOOKUP($C62,'Power Blocks'!$C$20:$C$31,'Power Blocks'!$J$20:$J$31,,)*$G62)</f>
        <v xml:space="preserve"> </v>
      </c>
      <c r="I62" s="59" t="str">
        <f>IF(F62=" "," ",_xlfn.XLOOKUP($C62,'Power Blocks'!$C$20:$C$31,'Power Blocks'!$K$20:$K$31,,)/1000*$G62)</f>
        <v xml:space="preserve"> </v>
      </c>
      <c r="J62" s="67" t="str">
        <f>IF(F62=" "," ",_xlfn.XLOOKUP($C62,'Power Blocks'!$C$20:$C$31,'Power Blocks'!$M$20:$M$31,,)*$G62)</f>
        <v xml:space="preserve"> 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3:48">
      <c r="C63" s="72" t="s">
        <v>58</v>
      </c>
      <c r="D63" s="73" t="s">
        <v>59</v>
      </c>
      <c r="E63" s="73" t="s">
        <v>59</v>
      </c>
      <c r="F63" s="56" t="str">
        <f>_xlfn.XLOOKUP($C63,'Power Blocks'!$C$20:$C$31,'Power Blocks'!$D$20:$D$31,,)</f>
        <v xml:space="preserve"> </v>
      </c>
      <c r="G63" s="57" t="str">
        <f>IF(F63=" "," ",D63/_xlfn.XLOOKUP($C63,'Power Blocks'!$C$20:$C$31,'Power Blocks'!$I$20:$I$31,,))</f>
        <v xml:space="preserve"> </v>
      </c>
      <c r="H63" s="58" t="str">
        <f>IF(F63=" "," ",_xlfn.XLOOKUP($C63,'Power Blocks'!$C$20:$C$31,'Power Blocks'!$J$20:$J$31,,)*$G63)</f>
        <v xml:space="preserve"> </v>
      </c>
      <c r="I63" s="59" t="str">
        <f>IF(F63=" "," ",_xlfn.XLOOKUP($C63,'Power Blocks'!$C$20:$C$31,'Power Blocks'!$K$20:$K$31,,)/1000*$G63)</f>
        <v xml:space="preserve"> </v>
      </c>
      <c r="J63" s="67" t="str">
        <f>IF(F63=" "," ",_xlfn.XLOOKUP($C63,'Power Blocks'!$C$20:$C$31,'Power Blocks'!$M$20:$M$31,,)*$G63)</f>
        <v xml:space="preserve"> 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3:48">
      <c r="C64" s="72" t="s">
        <v>58</v>
      </c>
      <c r="D64" s="73" t="s">
        <v>59</v>
      </c>
      <c r="E64" s="73" t="s">
        <v>59</v>
      </c>
      <c r="F64" s="56" t="str">
        <f>_xlfn.XLOOKUP($C64,'Power Blocks'!$C$20:$C$31,'Power Blocks'!$D$20:$D$31,,)</f>
        <v xml:space="preserve"> </v>
      </c>
      <c r="G64" s="57" t="str">
        <f>IF(F64=" "," ",D64/_xlfn.XLOOKUP($C64,'Power Blocks'!$C$20:$C$31,'Power Blocks'!$I$20:$I$31,,))</f>
        <v xml:space="preserve"> </v>
      </c>
      <c r="H64" s="58" t="str">
        <f>IF(F64=" "," ",_xlfn.XLOOKUP($C64,'Power Blocks'!$C$20:$C$31,'Power Blocks'!$J$20:$J$31,,)*$G64)</f>
        <v xml:space="preserve"> </v>
      </c>
      <c r="I64" s="59" t="str">
        <f>IF(F64=" "," ",_xlfn.XLOOKUP($C64,'Power Blocks'!$C$20:$C$31,'Power Blocks'!$K$20:$K$31,,)/1000*$G64)</f>
        <v xml:space="preserve"> </v>
      </c>
      <c r="J64" s="67" t="str">
        <f>IF(F64=" "," ",_xlfn.XLOOKUP($C64,'Power Blocks'!$C$20:$C$31,'Power Blocks'!$M$20:$M$31,,)*$G64)</f>
        <v xml:space="preserve"> 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3:30">
      <c r="C65" s="72" t="s">
        <v>58</v>
      </c>
      <c r="D65" s="73" t="s">
        <v>59</v>
      </c>
      <c r="E65" s="73" t="s">
        <v>59</v>
      </c>
      <c r="F65" s="56" t="str">
        <f>_xlfn.XLOOKUP($C65,'Power Blocks'!$C$20:$C$31,'Power Blocks'!$D$20:$D$31,,)</f>
        <v xml:space="preserve"> </v>
      </c>
      <c r="G65" s="57" t="str">
        <f>IF(F65=" "," ",D65/_xlfn.XLOOKUP($C65,'Power Blocks'!$C$20:$C$31,'Power Blocks'!$I$20:$I$31,,))</f>
        <v xml:space="preserve"> </v>
      </c>
      <c r="H65" s="58" t="str">
        <f>IF(F65=" "," ",_xlfn.XLOOKUP($C65,'Power Blocks'!$C$20:$C$31,'Power Blocks'!$J$20:$J$31,,)*$G65)</f>
        <v xml:space="preserve"> </v>
      </c>
      <c r="I65" s="59" t="str">
        <f>IF(F65=" "," ",_xlfn.XLOOKUP($C65,'Power Blocks'!$C$20:$C$31,'Power Blocks'!$K$20:$K$31,,)/1000*$G65)</f>
        <v xml:space="preserve"> </v>
      </c>
      <c r="J65" s="67" t="str">
        <f>IF(F65=" "," ",_xlfn.XLOOKUP($C65,'Power Blocks'!$C$20:$C$31,'Power Blocks'!$M$20:$M$31,,)*$G65)</f>
        <v xml:space="preserve"> 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3:30">
      <c r="C66" s="72" t="s">
        <v>58</v>
      </c>
      <c r="D66" s="73" t="s">
        <v>59</v>
      </c>
      <c r="E66" s="73" t="s">
        <v>59</v>
      </c>
      <c r="F66" s="56" t="str">
        <f>_xlfn.XLOOKUP($C66,'Power Blocks'!$C$20:$C$31,'Power Blocks'!$D$20:$D$31,,)</f>
        <v xml:space="preserve"> </v>
      </c>
      <c r="G66" s="57" t="str">
        <f>IF(F66=" "," ",D66/_xlfn.XLOOKUP($C66,'Power Blocks'!$C$20:$C$31,'Power Blocks'!$I$20:$I$31,,))</f>
        <v xml:space="preserve"> </v>
      </c>
      <c r="H66" s="58" t="str">
        <f>IF(F66=" "," ",_xlfn.XLOOKUP($C66,'Power Blocks'!$C$20:$C$31,'Power Blocks'!$J$20:$J$31,,)*$G66)</f>
        <v xml:space="preserve"> </v>
      </c>
      <c r="I66" s="59" t="str">
        <f>IF(F66=" "," ",_xlfn.XLOOKUP($C66,'Power Blocks'!$C$20:$C$31,'Power Blocks'!$K$20:$K$31,,)/1000*$G66)</f>
        <v xml:space="preserve"> </v>
      </c>
      <c r="J66" s="67" t="str">
        <f>IF(F66=" "," ",_xlfn.XLOOKUP($C66,'Power Blocks'!$C$20:$C$31,'Power Blocks'!$M$20:$M$31,,)*$G66)</f>
        <v xml:space="preserve"> 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3:30">
      <c r="C67" s="72" t="s">
        <v>58</v>
      </c>
      <c r="D67" s="73" t="s">
        <v>59</v>
      </c>
      <c r="E67" s="73" t="s">
        <v>59</v>
      </c>
      <c r="F67" s="56" t="str">
        <f>_xlfn.XLOOKUP($C67,'Power Blocks'!$C$20:$C$31,'Power Blocks'!$D$20:$D$31,,)</f>
        <v xml:space="preserve"> </v>
      </c>
      <c r="G67" s="57" t="str">
        <f>IF(F67=" "," ",D67/_xlfn.XLOOKUP($C67,'Power Blocks'!$C$20:$C$31,'Power Blocks'!$I$20:$I$31,,))</f>
        <v xml:space="preserve"> </v>
      </c>
      <c r="H67" s="58" t="str">
        <f>IF(F67=" "," ",_xlfn.XLOOKUP($C67,'Power Blocks'!$C$20:$C$31,'Power Blocks'!$J$20:$J$31,,)*$G67)</f>
        <v xml:space="preserve"> </v>
      </c>
      <c r="I67" s="59" t="str">
        <f>IF(F67=" "," ",_xlfn.XLOOKUP($C67,'Power Blocks'!$C$20:$C$31,'Power Blocks'!$K$20:$K$31,,)/1000*$G67)</f>
        <v xml:space="preserve"> </v>
      </c>
      <c r="J67" s="67" t="str">
        <f>IF(F67=" "," ",_xlfn.XLOOKUP($C67,'Power Blocks'!$C$20:$C$31,'Power Blocks'!$M$20:$M$31,,)*$G67)</f>
        <v xml:space="preserve"> 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3:30">
      <c r="C68" s="72" t="s">
        <v>58</v>
      </c>
      <c r="D68" s="73" t="s">
        <v>59</v>
      </c>
      <c r="E68" s="73" t="s">
        <v>59</v>
      </c>
      <c r="F68" s="56" t="str">
        <f>_xlfn.XLOOKUP($C68,'Power Blocks'!$C$20:$C$31,'Power Blocks'!$D$20:$D$31,,)</f>
        <v xml:space="preserve"> </v>
      </c>
      <c r="G68" s="57" t="str">
        <f>IF(F68=" "," ",D68/_xlfn.XLOOKUP($C68,'Power Blocks'!$C$20:$C$31,'Power Blocks'!$I$20:$I$31,,))</f>
        <v xml:space="preserve"> </v>
      </c>
      <c r="H68" s="58" t="str">
        <f>IF(F68=" "," ",_xlfn.XLOOKUP($C68,'Power Blocks'!$C$20:$C$31,'Power Blocks'!$J$20:$J$31,,)*$G68)</f>
        <v xml:space="preserve"> </v>
      </c>
      <c r="I68" s="59" t="str">
        <f>IF(F68=" "," ",_xlfn.XLOOKUP($C68,'Power Blocks'!$C$20:$C$31,'Power Blocks'!$K$20:$K$31,,)/1000*$G68)</f>
        <v xml:space="preserve"> </v>
      </c>
      <c r="J68" s="67" t="str">
        <f>IF(F68=" "," ",_xlfn.XLOOKUP($C68,'Power Blocks'!$C$20:$C$31,'Power Blocks'!$M$20:$M$31,,)*$G68)</f>
        <v xml:space="preserve"> 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3:30">
      <c r="C69" s="72" t="s">
        <v>58</v>
      </c>
      <c r="D69" s="73" t="s">
        <v>59</v>
      </c>
      <c r="E69" s="73" t="s">
        <v>59</v>
      </c>
      <c r="F69" s="56" t="str">
        <f>_xlfn.XLOOKUP($C69,'Power Blocks'!$C$20:$C$31,'Power Blocks'!$D$20:$D$31,,)</f>
        <v xml:space="preserve"> </v>
      </c>
      <c r="G69" s="57" t="str">
        <f>IF(F69=" "," ",D69/_xlfn.XLOOKUP($C69,'Power Blocks'!$C$20:$C$31,'Power Blocks'!$I$20:$I$31,,))</f>
        <v xml:space="preserve"> </v>
      </c>
      <c r="H69" s="58" t="str">
        <f>IF(F69=" "," ",_xlfn.XLOOKUP($C69,'Power Blocks'!$C$20:$C$31,'Power Blocks'!$J$20:$J$31,,)*$G69)</f>
        <v xml:space="preserve"> </v>
      </c>
      <c r="I69" s="59" t="str">
        <f>IF(F69=" "," ",_xlfn.XLOOKUP($C69,'Power Blocks'!$C$20:$C$31,'Power Blocks'!$K$20:$K$31,,)/1000*$G69)</f>
        <v xml:space="preserve"> </v>
      </c>
      <c r="J69" s="67" t="str">
        <f>IF(F69=" "," ",_xlfn.XLOOKUP($C69,'Power Blocks'!$C$20:$C$31,'Power Blocks'!$M$20:$M$31,,)*$G69)</f>
        <v xml:space="preserve"> 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3:30">
      <c r="C70" s="72" t="s">
        <v>58</v>
      </c>
      <c r="D70" s="73" t="s">
        <v>59</v>
      </c>
      <c r="E70" s="73" t="s">
        <v>59</v>
      </c>
      <c r="F70" s="56" t="str">
        <f>_xlfn.XLOOKUP($C70,'Power Blocks'!$C$20:$C$31,'Power Blocks'!$D$20:$D$31,,)</f>
        <v xml:space="preserve"> </v>
      </c>
      <c r="G70" s="57" t="str">
        <f>IF(F70=" "," ",D70/_xlfn.XLOOKUP($C70,'Power Blocks'!$C$20:$C$31,'Power Blocks'!$I$20:$I$31,,))</f>
        <v xml:space="preserve"> </v>
      </c>
      <c r="H70" s="58" t="str">
        <f>IF(F70=" "," ",_xlfn.XLOOKUP($C70,'Power Blocks'!$C$20:$C$31,'Power Blocks'!$J$20:$J$31,,)*$G70)</f>
        <v xml:space="preserve"> </v>
      </c>
      <c r="I70" s="59" t="str">
        <f>IF(F70=" "," ",_xlfn.XLOOKUP($C70,'Power Blocks'!$C$20:$C$31,'Power Blocks'!$K$20:$K$31,,)/1000*$G70)</f>
        <v xml:space="preserve"> </v>
      </c>
      <c r="J70" s="67" t="str">
        <f>IF(F70=" "," ",_xlfn.XLOOKUP($C70,'Power Blocks'!$C$20:$C$31,'Power Blocks'!$M$20:$M$31,,)*$G70)</f>
        <v xml:space="preserve"> 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3:30">
      <c r="C71" s="72" t="s">
        <v>58</v>
      </c>
      <c r="D71" s="73" t="s">
        <v>59</v>
      </c>
      <c r="E71" s="73" t="s">
        <v>59</v>
      </c>
      <c r="F71" s="56" t="str">
        <f>_xlfn.XLOOKUP($C71,'Power Blocks'!$C$20:$C$31,'Power Blocks'!$D$20:$D$31,,)</f>
        <v xml:space="preserve"> </v>
      </c>
      <c r="G71" s="57" t="str">
        <f>IF(F71=" "," ",D71/_xlfn.XLOOKUP($C71,'Power Blocks'!$C$20:$C$31,'Power Blocks'!$I$20:$I$31,,))</f>
        <v xml:space="preserve"> </v>
      </c>
      <c r="H71" s="58" t="str">
        <f>IF(F71=" "," ",_xlfn.XLOOKUP($C71,'Power Blocks'!$C$20:$C$31,'Power Blocks'!$J$20:$J$31,,)*$G71)</f>
        <v xml:space="preserve"> </v>
      </c>
      <c r="I71" s="59" t="str">
        <f>IF(F71=" "," ",_xlfn.XLOOKUP($C71,'Power Blocks'!$C$20:$C$31,'Power Blocks'!$K$20:$K$31,,)/1000*$G71)</f>
        <v xml:space="preserve"> </v>
      </c>
      <c r="J71" s="67" t="str">
        <f>IF(F71=" "," ",_xlfn.XLOOKUP($C71,'Power Blocks'!$C$20:$C$31,'Power Blocks'!$M$20:$M$31,,)*$G71)</f>
        <v xml:space="preserve"> 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3:30">
      <c r="C72" s="72" t="s">
        <v>58</v>
      </c>
      <c r="D72" s="73" t="s">
        <v>59</v>
      </c>
      <c r="E72" s="73" t="s">
        <v>59</v>
      </c>
      <c r="F72" s="56" t="str">
        <f>_xlfn.XLOOKUP($C72,'Power Blocks'!$C$20:$C$31,'Power Blocks'!$D$20:$D$31,,)</f>
        <v xml:space="preserve"> </v>
      </c>
      <c r="G72" s="57" t="str">
        <f>IF(F72=" "," ",D72/_xlfn.XLOOKUP($C72,'Power Blocks'!$C$20:$C$31,'Power Blocks'!$I$20:$I$31,,))</f>
        <v xml:space="preserve"> </v>
      </c>
      <c r="H72" s="58" t="str">
        <f>IF(F72=" "," ",_xlfn.XLOOKUP($C72,'Power Blocks'!$C$20:$C$31,'Power Blocks'!$J$20:$J$31,,)*$G72)</f>
        <v xml:space="preserve"> </v>
      </c>
      <c r="I72" s="59" t="str">
        <f>IF(F72=" "," ",_xlfn.XLOOKUP($C72,'Power Blocks'!$C$20:$C$31,'Power Blocks'!$K$20:$K$31,,)/1000*$G72)</f>
        <v xml:space="preserve"> </v>
      </c>
      <c r="J72" s="67" t="str">
        <f>IF(F72=" "," ",_xlfn.XLOOKUP($C72,'Power Blocks'!$C$20:$C$31,'Power Blocks'!$M$20:$M$31,,)*$G72)</f>
        <v xml:space="preserve"> 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3:30">
      <c r="C73" s="72" t="s">
        <v>58</v>
      </c>
      <c r="D73" s="73" t="s">
        <v>59</v>
      </c>
      <c r="E73" s="73" t="s">
        <v>59</v>
      </c>
      <c r="F73" s="56" t="str">
        <f>_xlfn.XLOOKUP($C73,'Power Blocks'!$C$20:$C$31,'Power Blocks'!$D$20:$D$31,,)</f>
        <v xml:space="preserve"> </v>
      </c>
      <c r="G73" s="57" t="str">
        <f>IF(F73=" "," ",D73/_xlfn.XLOOKUP($C73,'Power Blocks'!$C$20:$C$31,'Power Blocks'!$I$20:$I$31,,))</f>
        <v xml:space="preserve"> </v>
      </c>
      <c r="H73" s="58" t="str">
        <f>IF(F73=" "," ",_xlfn.XLOOKUP($C73,'Power Blocks'!$C$20:$C$31,'Power Blocks'!$J$20:$J$31,,)*$G73)</f>
        <v xml:space="preserve"> </v>
      </c>
      <c r="I73" s="59" t="str">
        <f>IF(F73=" "," ",_xlfn.XLOOKUP($C73,'Power Blocks'!$C$20:$C$31,'Power Blocks'!$K$20:$K$31,,)/1000*$G73)</f>
        <v xml:space="preserve"> </v>
      </c>
      <c r="J73" s="67" t="str">
        <f>IF(F73=" "," ",_xlfn.XLOOKUP($C73,'Power Blocks'!$C$20:$C$31,'Power Blocks'!$M$20:$M$31,,)*$G73)</f>
        <v xml:space="preserve"> 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3:30">
      <c r="C74" s="72" t="s">
        <v>58</v>
      </c>
      <c r="D74" s="73" t="s">
        <v>59</v>
      </c>
      <c r="E74" s="73" t="s">
        <v>59</v>
      </c>
      <c r="F74" s="56" t="str">
        <f>_xlfn.XLOOKUP($C74,'Power Blocks'!$C$20:$C$31,'Power Blocks'!$D$20:$D$31,,)</f>
        <v xml:space="preserve"> </v>
      </c>
      <c r="G74" s="57" t="str">
        <f>IF(F74=" "," ",D74/_xlfn.XLOOKUP($C74,'Power Blocks'!$C$20:$C$31,'Power Blocks'!$I$20:$I$31,,))</f>
        <v xml:space="preserve"> </v>
      </c>
      <c r="H74" s="58" t="str">
        <f>IF(F74=" "," ",_xlfn.XLOOKUP($C74,'Power Blocks'!$C$20:$C$31,'Power Blocks'!$J$20:$J$31,,)*$G74)</f>
        <v xml:space="preserve"> </v>
      </c>
      <c r="I74" s="59" t="str">
        <f>IF(F74=" "," ",_xlfn.XLOOKUP($C74,'Power Blocks'!$C$20:$C$31,'Power Blocks'!$K$20:$K$31,,)/1000*$G74)</f>
        <v xml:space="preserve"> </v>
      </c>
      <c r="J74" s="67" t="str">
        <f>IF(F74=" "," ",_xlfn.XLOOKUP($C74,'Power Blocks'!$C$20:$C$31,'Power Blocks'!$M$20:$M$31,,)*$G74)</f>
        <v xml:space="preserve"> 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101" spans="3:30">
      <c r="C101" s="218" t="s">
        <v>76</v>
      </c>
      <c r="D101" s="218"/>
      <c r="E101" s="218"/>
      <c r="F101" s="218"/>
      <c r="G101" s="218"/>
      <c r="H101" s="218"/>
      <c r="I101" s="218"/>
      <c r="J101" s="218"/>
      <c r="K101" s="116">
        <v>2024</v>
      </c>
      <c r="L101" s="116">
        <v>2024.25</v>
      </c>
      <c r="M101" s="116">
        <v>2024.5</v>
      </c>
      <c r="N101" s="116">
        <v>2024.75</v>
      </c>
      <c r="O101" s="116">
        <v>2025</v>
      </c>
      <c r="P101" s="116">
        <v>2025.25</v>
      </c>
      <c r="Q101" s="116">
        <f t="shared" ref="Q101:AD101" si="5">P101+0.25</f>
        <v>2025.5</v>
      </c>
      <c r="R101" s="116">
        <f t="shared" si="5"/>
        <v>2025.75</v>
      </c>
      <c r="S101" s="116">
        <f t="shared" si="5"/>
        <v>2026</v>
      </c>
      <c r="T101" s="116">
        <f t="shared" si="5"/>
        <v>2026.25</v>
      </c>
      <c r="U101" s="116">
        <f t="shared" si="5"/>
        <v>2026.5</v>
      </c>
      <c r="V101" s="116">
        <f t="shared" si="5"/>
        <v>2026.75</v>
      </c>
      <c r="W101" s="116">
        <f t="shared" si="5"/>
        <v>2027</v>
      </c>
      <c r="X101" s="116">
        <f t="shared" si="5"/>
        <v>2027.25</v>
      </c>
      <c r="Y101" s="116">
        <f t="shared" si="5"/>
        <v>2027.5</v>
      </c>
      <c r="Z101" s="116">
        <f t="shared" si="5"/>
        <v>2027.75</v>
      </c>
      <c r="AA101" s="116">
        <f t="shared" si="5"/>
        <v>2028</v>
      </c>
      <c r="AB101" s="116">
        <f t="shared" si="5"/>
        <v>2028.25</v>
      </c>
      <c r="AC101" s="116">
        <f t="shared" si="5"/>
        <v>2028.5</v>
      </c>
      <c r="AD101" s="116">
        <f t="shared" si="5"/>
        <v>2028.75</v>
      </c>
    </row>
    <row r="102" spans="3:30">
      <c r="C102" s="218"/>
      <c r="D102" s="218"/>
      <c r="E102" s="218"/>
      <c r="F102" s="218"/>
      <c r="G102" s="218"/>
      <c r="H102" s="218"/>
      <c r="I102" s="218"/>
      <c r="J102" s="218"/>
      <c r="K102" s="117">
        <f>SUM(K105:K128)</f>
        <v>0</v>
      </c>
      <c r="L102" s="117">
        <f t="shared" ref="L102:AD102" si="6">SUM(L105:L128)</f>
        <v>0</v>
      </c>
      <c r="M102" s="117">
        <f t="shared" si="6"/>
        <v>0</v>
      </c>
      <c r="N102" s="117">
        <f t="shared" si="6"/>
        <v>0</v>
      </c>
      <c r="O102" s="117">
        <f t="shared" si="6"/>
        <v>0</v>
      </c>
      <c r="P102" s="117">
        <f t="shared" si="6"/>
        <v>1821.42</v>
      </c>
      <c r="Q102" s="117">
        <f t="shared" si="6"/>
        <v>0</v>
      </c>
      <c r="R102" s="117">
        <f t="shared" si="6"/>
        <v>0</v>
      </c>
      <c r="S102" s="117">
        <f t="shared" si="6"/>
        <v>0</v>
      </c>
      <c r="T102" s="117">
        <f t="shared" si="6"/>
        <v>0</v>
      </c>
      <c r="U102" s="117">
        <f t="shared" si="6"/>
        <v>0</v>
      </c>
      <c r="V102" s="117">
        <f t="shared" si="6"/>
        <v>0</v>
      </c>
      <c r="W102" s="117">
        <f t="shared" si="6"/>
        <v>0</v>
      </c>
      <c r="X102" s="117">
        <f t="shared" si="6"/>
        <v>0</v>
      </c>
      <c r="Y102" s="117">
        <f t="shared" si="6"/>
        <v>0</v>
      </c>
      <c r="Z102" s="117">
        <f t="shared" si="6"/>
        <v>0</v>
      </c>
      <c r="AA102" s="117">
        <f t="shared" si="6"/>
        <v>0</v>
      </c>
      <c r="AB102" s="117">
        <f t="shared" si="6"/>
        <v>0</v>
      </c>
      <c r="AC102" s="117">
        <f t="shared" si="6"/>
        <v>0</v>
      </c>
      <c r="AD102" s="117">
        <f t="shared" si="6"/>
        <v>0</v>
      </c>
    </row>
    <row r="103" spans="3:30">
      <c r="C103" s="111" t="str">
        <f>C51</f>
        <v>HPC1</v>
      </c>
      <c r="D103" s="112">
        <f t="shared" ref="D103:J103" si="7">D51</f>
        <v>150</v>
      </c>
      <c r="E103" s="111" t="str">
        <f t="shared" si="7"/>
        <v>Existing</v>
      </c>
      <c r="F103" s="111" t="str">
        <f t="shared" si="7"/>
        <v>CPU</v>
      </c>
      <c r="G103" s="112">
        <f t="shared" si="7"/>
        <v>1.5</v>
      </c>
      <c r="H103" s="113">
        <f t="shared" si="7"/>
        <v>0.15000000000000002</v>
      </c>
      <c r="I103" s="111">
        <f t="shared" si="7"/>
        <v>1500</v>
      </c>
      <c r="J103" s="114">
        <f t="shared" si="7"/>
        <v>19200</v>
      </c>
      <c r="K103" s="115">
        <f t="shared" ref="K103:AD103" si="8">IF(AND(ISBLANK(K51),NOT(ISBLANK(L51))),$I51,0)</f>
        <v>0</v>
      </c>
      <c r="L103" s="115">
        <f t="shared" si="8"/>
        <v>0</v>
      </c>
      <c r="M103" s="115">
        <f t="shared" si="8"/>
        <v>0</v>
      </c>
      <c r="N103" s="115">
        <f t="shared" si="8"/>
        <v>0</v>
      </c>
      <c r="O103" s="115">
        <f t="shared" si="8"/>
        <v>0</v>
      </c>
      <c r="P103" s="115">
        <f t="shared" si="8"/>
        <v>0</v>
      </c>
      <c r="Q103" s="115">
        <f t="shared" si="8"/>
        <v>0</v>
      </c>
      <c r="R103" s="115">
        <f t="shared" si="8"/>
        <v>0</v>
      </c>
      <c r="S103" s="115">
        <f t="shared" si="8"/>
        <v>0</v>
      </c>
      <c r="T103" s="115">
        <f t="shared" si="8"/>
        <v>0</v>
      </c>
      <c r="U103" s="115">
        <f t="shared" si="8"/>
        <v>0</v>
      </c>
      <c r="V103" s="115">
        <f t="shared" si="8"/>
        <v>0</v>
      </c>
      <c r="W103" s="115">
        <f t="shared" si="8"/>
        <v>0</v>
      </c>
      <c r="X103" s="115">
        <f t="shared" si="8"/>
        <v>0</v>
      </c>
      <c r="Y103" s="115">
        <f t="shared" si="8"/>
        <v>0</v>
      </c>
      <c r="Z103" s="115">
        <f t="shared" si="8"/>
        <v>0</v>
      </c>
      <c r="AA103" s="115">
        <f t="shared" si="8"/>
        <v>0</v>
      </c>
      <c r="AB103" s="115">
        <f t="shared" si="8"/>
        <v>0</v>
      </c>
      <c r="AC103" s="115">
        <f t="shared" si="8"/>
        <v>0</v>
      </c>
      <c r="AD103" s="115">
        <f t="shared" si="8"/>
        <v>0</v>
      </c>
    </row>
    <row r="104" spans="3:30">
      <c r="C104" s="111" t="str">
        <f t="shared" ref="C104:J115" si="9">C52</f>
        <v>V100-4</v>
      </c>
      <c r="D104" s="112">
        <f t="shared" si="9"/>
        <v>6</v>
      </c>
      <c r="E104" s="111" t="str">
        <f t="shared" si="9"/>
        <v>Existing</v>
      </c>
      <c r="F104" s="111" t="str">
        <f t="shared" si="9"/>
        <v>GPU</v>
      </c>
      <c r="G104" s="112">
        <f t="shared" si="9"/>
        <v>0.3</v>
      </c>
      <c r="H104" s="113">
        <f t="shared" si="9"/>
        <v>0.03</v>
      </c>
      <c r="I104" s="111">
        <f t="shared" si="9"/>
        <v>120</v>
      </c>
      <c r="J104" s="114">
        <f t="shared" si="9"/>
        <v>24</v>
      </c>
      <c r="K104" s="115">
        <f t="shared" ref="K104:AD104" si="10">IF(AND(ISBLANK(K52),NOT(ISBLANK(L52))),$I52,0)</f>
        <v>0</v>
      </c>
      <c r="L104" s="115">
        <f t="shared" si="10"/>
        <v>0</v>
      </c>
      <c r="M104" s="115">
        <f t="shared" si="10"/>
        <v>0</v>
      </c>
      <c r="N104" s="115">
        <f t="shared" si="10"/>
        <v>0</v>
      </c>
      <c r="O104" s="115">
        <f t="shared" si="10"/>
        <v>0</v>
      </c>
      <c r="P104" s="115">
        <f t="shared" si="10"/>
        <v>0</v>
      </c>
      <c r="Q104" s="115">
        <f t="shared" si="10"/>
        <v>0</v>
      </c>
      <c r="R104" s="115">
        <f t="shared" si="10"/>
        <v>0</v>
      </c>
      <c r="S104" s="115">
        <f t="shared" si="10"/>
        <v>0</v>
      </c>
      <c r="T104" s="115">
        <f t="shared" si="10"/>
        <v>0</v>
      </c>
      <c r="U104" s="115">
        <f t="shared" si="10"/>
        <v>0</v>
      </c>
      <c r="V104" s="115">
        <f t="shared" si="10"/>
        <v>0</v>
      </c>
      <c r="W104" s="115">
        <f t="shared" si="10"/>
        <v>0</v>
      </c>
      <c r="X104" s="115">
        <f t="shared" si="10"/>
        <v>0</v>
      </c>
      <c r="Y104" s="115">
        <f t="shared" si="10"/>
        <v>0</v>
      </c>
      <c r="Z104" s="115">
        <f t="shared" si="10"/>
        <v>0</v>
      </c>
      <c r="AA104" s="115">
        <f t="shared" si="10"/>
        <v>0</v>
      </c>
      <c r="AB104" s="115">
        <f t="shared" si="10"/>
        <v>0</v>
      </c>
      <c r="AC104" s="115">
        <f t="shared" si="10"/>
        <v>0</v>
      </c>
      <c r="AD104" s="115">
        <f t="shared" si="10"/>
        <v>0</v>
      </c>
    </row>
    <row r="105" spans="3:30">
      <c r="C105" s="111" t="str">
        <f t="shared" si="9"/>
        <v>HDD</v>
      </c>
      <c r="D105" s="112">
        <f t="shared" si="9"/>
        <v>140</v>
      </c>
      <c r="E105" s="111" t="str">
        <f t="shared" si="9"/>
        <v>Existing</v>
      </c>
      <c r="F105" s="111" t="str">
        <f t="shared" si="9"/>
        <v>Hdisk</v>
      </c>
      <c r="G105" s="112">
        <f t="shared" si="9"/>
        <v>1</v>
      </c>
      <c r="H105" s="113">
        <f t="shared" si="9"/>
        <v>0.1</v>
      </c>
      <c r="I105" s="111">
        <f t="shared" si="9"/>
        <v>3999.94</v>
      </c>
      <c r="J105" s="114">
        <f t="shared" si="9"/>
        <v>74.2</v>
      </c>
      <c r="K105" s="115">
        <f t="shared" ref="K105:AD105" si="11">IF(AND(ISBLANK(K53),NOT(ISBLANK(L53))),$I53,0)</f>
        <v>0</v>
      </c>
      <c r="L105" s="115">
        <f t="shared" si="11"/>
        <v>0</v>
      </c>
      <c r="M105" s="115">
        <f t="shared" si="11"/>
        <v>0</v>
      </c>
      <c r="N105" s="115">
        <f t="shared" si="11"/>
        <v>0</v>
      </c>
      <c r="O105" s="115">
        <f t="shared" si="11"/>
        <v>0</v>
      </c>
      <c r="P105" s="115">
        <f t="shared" si="11"/>
        <v>0</v>
      </c>
      <c r="Q105" s="115">
        <f t="shared" si="11"/>
        <v>0</v>
      </c>
      <c r="R105" s="115">
        <f t="shared" si="11"/>
        <v>0</v>
      </c>
      <c r="S105" s="115">
        <f t="shared" si="11"/>
        <v>0</v>
      </c>
      <c r="T105" s="115">
        <f t="shared" si="11"/>
        <v>0</v>
      </c>
      <c r="U105" s="115">
        <f t="shared" si="11"/>
        <v>0</v>
      </c>
      <c r="V105" s="115">
        <f t="shared" si="11"/>
        <v>0</v>
      </c>
      <c r="W105" s="115">
        <f t="shared" si="11"/>
        <v>0</v>
      </c>
      <c r="X105" s="115">
        <f t="shared" si="11"/>
        <v>0</v>
      </c>
      <c r="Y105" s="115">
        <f t="shared" si="11"/>
        <v>0</v>
      </c>
      <c r="Z105" s="115">
        <f t="shared" si="11"/>
        <v>0</v>
      </c>
      <c r="AA105" s="115">
        <f t="shared" si="11"/>
        <v>0</v>
      </c>
      <c r="AB105" s="115">
        <f t="shared" si="11"/>
        <v>0</v>
      </c>
      <c r="AC105" s="115">
        <f t="shared" si="11"/>
        <v>0</v>
      </c>
      <c r="AD105" s="115">
        <f t="shared" si="11"/>
        <v>0</v>
      </c>
    </row>
    <row r="106" spans="3:30">
      <c r="C106" s="111" t="str">
        <f t="shared" si="9"/>
        <v>SSD</v>
      </c>
      <c r="D106" s="112">
        <f t="shared" si="9"/>
        <v>18</v>
      </c>
      <c r="E106" s="111" t="str">
        <f t="shared" si="9"/>
        <v>Existing</v>
      </c>
      <c r="F106" s="111" t="str">
        <f t="shared" si="9"/>
        <v>Sdisk</v>
      </c>
      <c r="G106" s="112">
        <f t="shared" si="9"/>
        <v>0.14399999999999999</v>
      </c>
      <c r="H106" s="113">
        <f t="shared" si="9"/>
        <v>1.44E-2</v>
      </c>
      <c r="I106" s="111">
        <f t="shared" si="9"/>
        <v>755.99999999999989</v>
      </c>
      <c r="J106" s="114">
        <f t="shared" si="9"/>
        <v>5.3999999999999995</v>
      </c>
      <c r="K106" s="115">
        <f t="shared" ref="K106:AD106" si="12">IF(AND(ISBLANK(K54),NOT(ISBLANK(L54))),$I54,0)</f>
        <v>0</v>
      </c>
      <c r="L106" s="115">
        <f t="shared" si="12"/>
        <v>0</v>
      </c>
      <c r="M106" s="115">
        <f t="shared" si="12"/>
        <v>0</v>
      </c>
      <c r="N106" s="115">
        <f t="shared" si="12"/>
        <v>0</v>
      </c>
      <c r="O106" s="115">
        <f t="shared" si="12"/>
        <v>0</v>
      </c>
      <c r="P106" s="115">
        <f t="shared" si="12"/>
        <v>0</v>
      </c>
      <c r="Q106" s="115">
        <f t="shared" si="12"/>
        <v>0</v>
      </c>
      <c r="R106" s="115">
        <f t="shared" si="12"/>
        <v>0</v>
      </c>
      <c r="S106" s="115">
        <f t="shared" si="12"/>
        <v>0</v>
      </c>
      <c r="T106" s="115">
        <f t="shared" si="12"/>
        <v>0</v>
      </c>
      <c r="U106" s="115">
        <f t="shared" si="12"/>
        <v>0</v>
      </c>
      <c r="V106" s="115">
        <f t="shared" si="12"/>
        <v>0</v>
      </c>
      <c r="W106" s="115">
        <f t="shared" si="12"/>
        <v>0</v>
      </c>
      <c r="X106" s="115">
        <f t="shared" si="12"/>
        <v>0</v>
      </c>
      <c r="Y106" s="115">
        <f t="shared" si="12"/>
        <v>0</v>
      </c>
      <c r="Z106" s="115">
        <f t="shared" si="12"/>
        <v>0</v>
      </c>
      <c r="AA106" s="115">
        <f t="shared" si="12"/>
        <v>0</v>
      </c>
      <c r="AB106" s="115">
        <f t="shared" si="12"/>
        <v>0</v>
      </c>
      <c r="AC106" s="115">
        <f t="shared" si="12"/>
        <v>0</v>
      </c>
      <c r="AD106" s="115">
        <f t="shared" si="12"/>
        <v>0</v>
      </c>
    </row>
    <row r="107" spans="3:30">
      <c r="C107" s="111" t="str">
        <f t="shared" si="9"/>
        <v>H100-4</v>
      </c>
      <c r="D107" s="112">
        <f t="shared" si="9"/>
        <v>4</v>
      </c>
      <c r="E107" s="111" t="str">
        <f t="shared" si="9"/>
        <v>Schmidt</v>
      </c>
      <c r="F107" s="111" t="str">
        <f t="shared" si="9"/>
        <v>GPU</v>
      </c>
      <c r="G107" s="112">
        <f t="shared" si="9"/>
        <v>0.25</v>
      </c>
      <c r="H107" s="113">
        <f t="shared" si="9"/>
        <v>2.5000000000000001E-2</v>
      </c>
      <c r="I107" s="111">
        <f t="shared" si="9"/>
        <v>428</v>
      </c>
      <c r="J107" s="114">
        <f t="shared" si="9"/>
        <v>16</v>
      </c>
      <c r="K107" s="115">
        <f t="shared" ref="K107:AD107" si="13">IF(AND(ISBLANK(K55),NOT(ISBLANK(L55))),$I55,0)</f>
        <v>0</v>
      </c>
      <c r="L107" s="115">
        <f t="shared" si="13"/>
        <v>0</v>
      </c>
      <c r="M107" s="115">
        <f t="shared" si="13"/>
        <v>0</v>
      </c>
      <c r="N107" s="115">
        <f t="shared" si="13"/>
        <v>0</v>
      </c>
      <c r="O107" s="115">
        <f t="shared" si="13"/>
        <v>0</v>
      </c>
      <c r="P107" s="115">
        <f t="shared" si="13"/>
        <v>428</v>
      </c>
      <c r="Q107" s="115">
        <f t="shared" si="13"/>
        <v>0</v>
      </c>
      <c r="R107" s="115">
        <f t="shared" si="13"/>
        <v>0</v>
      </c>
      <c r="S107" s="115">
        <f t="shared" si="13"/>
        <v>0</v>
      </c>
      <c r="T107" s="115">
        <f t="shared" si="13"/>
        <v>0</v>
      </c>
      <c r="U107" s="115">
        <f t="shared" si="13"/>
        <v>0</v>
      </c>
      <c r="V107" s="115">
        <f t="shared" si="13"/>
        <v>0</v>
      </c>
      <c r="W107" s="115">
        <f t="shared" si="13"/>
        <v>0</v>
      </c>
      <c r="X107" s="115">
        <f t="shared" si="13"/>
        <v>0</v>
      </c>
      <c r="Y107" s="115">
        <f t="shared" si="13"/>
        <v>0</v>
      </c>
      <c r="Z107" s="115">
        <f t="shared" si="13"/>
        <v>0</v>
      </c>
      <c r="AA107" s="115">
        <f t="shared" si="13"/>
        <v>0</v>
      </c>
      <c r="AB107" s="115">
        <f t="shared" si="13"/>
        <v>0</v>
      </c>
      <c r="AC107" s="115">
        <f t="shared" si="13"/>
        <v>0</v>
      </c>
      <c r="AD107" s="115">
        <f t="shared" si="13"/>
        <v>0</v>
      </c>
    </row>
    <row r="108" spans="3:30">
      <c r="C108" s="111" t="str">
        <f t="shared" si="9"/>
        <v>HPC2</v>
      </c>
      <c r="D108" s="112">
        <f t="shared" si="9"/>
        <v>10</v>
      </c>
      <c r="E108" s="111" t="str">
        <f t="shared" si="9"/>
        <v>Schmidt</v>
      </c>
      <c r="F108" s="111" t="str">
        <f t="shared" si="9"/>
        <v>CPU</v>
      </c>
      <c r="G108" s="112">
        <f t="shared" si="9"/>
        <v>0.125</v>
      </c>
      <c r="H108" s="113">
        <f t="shared" si="9"/>
        <v>1.2500000000000001E-2</v>
      </c>
      <c r="I108" s="111">
        <f t="shared" si="9"/>
        <v>150</v>
      </c>
      <c r="J108" s="114">
        <f t="shared" si="9"/>
        <v>2560</v>
      </c>
      <c r="K108" s="115">
        <f t="shared" ref="K108:AD108" si="14">IF(AND(ISBLANK(K56),NOT(ISBLANK(L56))),$I56,0)</f>
        <v>0</v>
      </c>
      <c r="L108" s="115">
        <f t="shared" si="14"/>
        <v>0</v>
      </c>
      <c r="M108" s="115">
        <f t="shared" si="14"/>
        <v>0</v>
      </c>
      <c r="N108" s="115">
        <f t="shared" si="14"/>
        <v>0</v>
      </c>
      <c r="O108" s="115">
        <f t="shared" si="14"/>
        <v>0</v>
      </c>
      <c r="P108" s="115">
        <f t="shared" si="14"/>
        <v>150</v>
      </c>
      <c r="Q108" s="115">
        <f t="shared" si="14"/>
        <v>0</v>
      </c>
      <c r="R108" s="115">
        <f t="shared" si="14"/>
        <v>0</v>
      </c>
      <c r="S108" s="115">
        <f t="shared" si="14"/>
        <v>0</v>
      </c>
      <c r="T108" s="115">
        <f t="shared" si="14"/>
        <v>0</v>
      </c>
      <c r="U108" s="115">
        <f t="shared" si="14"/>
        <v>0</v>
      </c>
      <c r="V108" s="115">
        <f t="shared" si="14"/>
        <v>0</v>
      </c>
      <c r="W108" s="115">
        <f t="shared" si="14"/>
        <v>0</v>
      </c>
      <c r="X108" s="115">
        <f t="shared" si="14"/>
        <v>0</v>
      </c>
      <c r="Y108" s="115">
        <f t="shared" si="14"/>
        <v>0</v>
      </c>
      <c r="Z108" s="115">
        <f t="shared" si="14"/>
        <v>0</v>
      </c>
      <c r="AA108" s="115">
        <f t="shared" si="14"/>
        <v>0</v>
      </c>
      <c r="AB108" s="115">
        <f t="shared" si="14"/>
        <v>0</v>
      </c>
      <c r="AC108" s="115">
        <f t="shared" si="14"/>
        <v>0</v>
      </c>
      <c r="AD108" s="115">
        <f t="shared" si="14"/>
        <v>0</v>
      </c>
    </row>
    <row r="109" spans="3:30">
      <c r="C109" s="111" t="str">
        <f t="shared" si="9"/>
        <v>HDD</v>
      </c>
      <c r="D109" s="112">
        <f t="shared" si="9"/>
        <v>20</v>
      </c>
      <c r="E109" s="111" t="str">
        <f t="shared" si="9"/>
        <v>Schmidt</v>
      </c>
      <c r="F109" s="111" t="str">
        <f t="shared" si="9"/>
        <v>Hdisk</v>
      </c>
      <c r="G109" s="112">
        <f t="shared" si="9"/>
        <v>0.14285714285714285</v>
      </c>
      <c r="H109" s="113">
        <f t="shared" si="9"/>
        <v>1.4285714285714285E-2</v>
      </c>
      <c r="I109" s="111">
        <f t="shared" si="9"/>
        <v>571.41999999999996</v>
      </c>
      <c r="J109" s="114">
        <f t="shared" si="9"/>
        <v>10.6</v>
      </c>
      <c r="K109" s="115">
        <f t="shared" ref="K109:AD109" si="15">IF(AND(ISBLANK(K57),NOT(ISBLANK(L57))),$I57,0)</f>
        <v>0</v>
      </c>
      <c r="L109" s="115">
        <f t="shared" si="15"/>
        <v>0</v>
      </c>
      <c r="M109" s="115">
        <f t="shared" si="15"/>
        <v>0</v>
      </c>
      <c r="N109" s="115">
        <f t="shared" si="15"/>
        <v>0</v>
      </c>
      <c r="O109" s="115">
        <f t="shared" si="15"/>
        <v>0</v>
      </c>
      <c r="P109" s="115">
        <f t="shared" si="15"/>
        <v>571.41999999999996</v>
      </c>
      <c r="Q109" s="115">
        <f t="shared" si="15"/>
        <v>0</v>
      </c>
      <c r="R109" s="115">
        <f t="shared" si="15"/>
        <v>0</v>
      </c>
      <c r="S109" s="115">
        <f t="shared" si="15"/>
        <v>0</v>
      </c>
      <c r="T109" s="115">
        <f t="shared" si="15"/>
        <v>0</v>
      </c>
      <c r="U109" s="115">
        <f t="shared" si="15"/>
        <v>0</v>
      </c>
      <c r="V109" s="115">
        <f t="shared" si="15"/>
        <v>0</v>
      </c>
      <c r="W109" s="115">
        <f t="shared" si="15"/>
        <v>0</v>
      </c>
      <c r="X109" s="115">
        <f t="shared" si="15"/>
        <v>0</v>
      </c>
      <c r="Y109" s="115">
        <f t="shared" si="15"/>
        <v>0</v>
      </c>
      <c r="Z109" s="115">
        <f t="shared" si="15"/>
        <v>0</v>
      </c>
      <c r="AA109" s="115">
        <f t="shared" si="15"/>
        <v>0</v>
      </c>
      <c r="AB109" s="115">
        <f t="shared" si="15"/>
        <v>0</v>
      </c>
      <c r="AC109" s="115">
        <f t="shared" si="15"/>
        <v>0</v>
      </c>
      <c r="AD109" s="115">
        <f t="shared" si="15"/>
        <v>0</v>
      </c>
    </row>
    <row r="110" spans="3:30">
      <c r="C110" s="111" t="str">
        <f t="shared" si="9"/>
        <v>SSD</v>
      </c>
      <c r="D110" s="112">
        <f t="shared" si="9"/>
        <v>16</v>
      </c>
      <c r="E110" s="111" t="str">
        <f t="shared" si="9"/>
        <v>Schmidt</v>
      </c>
      <c r="F110" s="111" t="str">
        <f t="shared" si="9"/>
        <v>Sdisk</v>
      </c>
      <c r="G110" s="112">
        <f t="shared" si="9"/>
        <v>0.128</v>
      </c>
      <c r="H110" s="113">
        <f t="shared" si="9"/>
        <v>1.2800000000000001E-2</v>
      </c>
      <c r="I110" s="111">
        <f t="shared" si="9"/>
        <v>672</v>
      </c>
      <c r="J110" s="114">
        <f t="shared" si="9"/>
        <v>4.8</v>
      </c>
      <c r="K110" s="115">
        <f t="shared" ref="K110:AD110" si="16">IF(AND(ISBLANK(K58),NOT(ISBLANK(L58))),$I58,0)</f>
        <v>0</v>
      </c>
      <c r="L110" s="115">
        <f t="shared" si="16"/>
        <v>0</v>
      </c>
      <c r="M110" s="115">
        <f t="shared" si="16"/>
        <v>0</v>
      </c>
      <c r="N110" s="115">
        <f t="shared" si="16"/>
        <v>0</v>
      </c>
      <c r="O110" s="115">
        <f t="shared" si="16"/>
        <v>0</v>
      </c>
      <c r="P110" s="115">
        <f t="shared" si="16"/>
        <v>672</v>
      </c>
      <c r="Q110" s="115">
        <f t="shared" si="16"/>
        <v>0</v>
      </c>
      <c r="R110" s="115">
        <f t="shared" si="16"/>
        <v>0</v>
      </c>
      <c r="S110" s="115">
        <f t="shared" si="16"/>
        <v>0</v>
      </c>
      <c r="T110" s="115">
        <f t="shared" si="16"/>
        <v>0</v>
      </c>
      <c r="U110" s="115">
        <f t="shared" si="16"/>
        <v>0</v>
      </c>
      <c r="V110" s="115">
        <f t="shared" si="16"/>
        <v>0</v>
      </c>
      <c r="W110" s="115">
        <f t="shared" si="16"/>
        <v>0</v>
      </c>
      <c r="X110" s="115">
        <f t="shared" si="16"/>
        <v>0</v>
      </c>
      <c r="Y110" s="115">
        <f t="shared" si="16"/>
        <v>0</v>
      </c>
      <c r="Z110" s="115">
        <f t="shared" si="16"/>
        <v>0</v>
      </c>
      <c r="AA110" s="115">
        <f t="shared" si="16"/>
        <v>0</v>
      </c>
      <c r="AB110" s="115">
        <f t="shared" si="16"/>
        <v>0</v>
      </c>
      <c r="AC110" s="115">
        <f t="shared" si="16"/>
        <v>0</v>
      </c>
      <c r="AD110" s="115">
        <f t="shared" si="16"/>
        <v>0</v>
      </c>
    </row>
    <row r="111" spans="3:30">
      <c r="C111" s="111" t="str">
        <f t="shared" si="9"/>
        <v>--</v>
      </c>
      <c r="D111" s="112" t="str">
        <f t="shared" si="9"/>
        <v xml:space="preserve"> </v>
      </c>
      <c r="E111" s="111" t="str">
        <f t="shared" si="9"/>
        <v xml:space="preserve"> </v>
      </c>
      <c r="F111" s="111" t="str">
        <f t="shared" si="9"/>
        <v xml:space="preserve"> </v>
      </c>
      <c r="G111" s="112" t="str">
        <f t="shared" si="9"/>
        <v xml:space="preserve"> </v>
      </c>
      <c r="H111" s="113" t="str">
        <f t="shared" si="9"/>
        <v xml:space="preserve"> </v>
      </c>
      <c r="I111" s="111" t="str">
        <f t="shared" si="9"/>
        <v xml:space="preserve"> </v>
      </c>
      <c r="J111" s="114" t="str">
        <f t="shared" si="9"/>
        <v xml:space="preserve"> </v>
      </c>
      <c r="K111" s="115">
        <f t="shared" ref="K111:AD111" si="17">IF(AND(ISBLANK(K59),NOT(ISBLANK(L59))),$I59,0)</f>
        <v>0</v>
      </c>
      <c r="L111" s="115">
        <f t="shared" si="17"/>
        <v>0</v>
      </c>
      <c r="M111" s="115">
        <f t="shared" si="17"/>
        <v>0</v>
      </c>
      <c r="N111" s="115">
        <f t="shared" si="17"/>
        <v>0</v>
      </c>
      <c r="O111" s="115">
        <f t="shared" si="17"/>
        <v>0</v>
      </c>
      <c r="P111" s="115">
        <f t="shared" si="17"/>
        <v>0</v>
      </c>
      <c r="Q111" s="115">
        <f t="shared" si="17"/>
        <v>0</v>
      </c>
      <c r="R111" s="115" t="str">
        <f t="shared" si="17"/>
        <v xml:space="preserve"> </v>
      </c>
      <c r="S111" s="115">
        <f t="shared" si="17"/>
        <v>0</v>
      </c>
      <c r="T111" s="115">
        <f t="shared" si="17"/>
        <v>0</v>
      </c>
      <c r="U111" s="115">
        <f t="shared" si="17"/>
        <v>0</v>
      </c>
      <c r="V111" s="115">
        <f t="shared" si="17"/>
        <v>0</v>
      </c>
      <c r="W111" s="115">
        <f t="shared" si="17"/>
        <v>0</v>
      </c>
      <c r="X111" s="115">
        <f t="shared" si="17"/>
        <v>0</v>
      </c>
      <c r="Y111" s="115">
        <f t="shared" si="17"/>
        <v>0</v>
      </c>
      <c r="Z111" s="115">
        <f t="shared" si="17"/>
        <v>0</v>
      </c>
      <c r="AA111" s="115">
        <f t="shared" si="17"/>
        <v>0</v>
      </c>
      <c r="AB111" s="115">
        <f t="shared" si="17"/>
        <v>0</v>
      </c>
      <c r="AC111" s="115">
        <f t="shared" si="17"/>
        <v>0</v>
      </c>
      <c r="AD111" s="115">
        <f t="shared" si="17"/>
        <v>0</v>
      </c>
    </row>
    <row r="112" spans="3:30">
      <c r="C112" s="111" t="str">
        <f t="shared" si="9"/>
        <v>--</v>
      </c>
      <c r="D112" s="112" t="str">
        <f t="shared" si="9"/>
        <v xml:space="preserve"> </v>
      </c>
      <c r="E112" s="111" t="str">
        <f t="shared" si="9"/>
        <v xml:space="preserve"> </v>
      </c>
      <c r="F112" s="111" t="str">
        <f t="shared" si="9"/>
        <v xml:space="preserve"> </v>
      </c>
      <c r="G112" s="112" t="str">
        <f t="shared" si="9"/>
        <v xml:space="preserve"> </v>
      </c>
      <c r="H112" s="113" t="str">
        <f t="shared" si="9"/>
        <v xml:space="preserve"> </v>
      </c>
      <c r="I112" s="111" t="str">
        <f t="shared" si="9"/>
        <v xml:space="preserve"> </v>
      </c>
      <c r="J112" s="114" t="str">
        <f t="shared" si="9"/>
        <v xml:space="preserve"> </v>
      </c>
      <c r="K112" s="115">
        <f t="shared" ref="K112:AD112" si="18">IF(AND(ISBLANK(K60),NOT(ISBLANK(L60))),$I60,0)</f>
        <v>0</v>
      </c>
      <c r="L112" s="115">
        <f t="shared" si="18"/>
        <v>0</v>
      </c>
      <c r="M112" s="115">
        <f t="shared" si="18"/>
        <v>0</v>
      </c>
      <c r="N112" s="115">
        <f t="shared" si="18"/>
        <v>0</v>
      </c>
      <c r="O112" s="115">
        <f t="shared" si="18"/>
        <v>0</v>
      </c>
      <c r="P112" s="115">
        <f t="shared" si="18"/>
        <v>0</v>
      </c>
      <c r="Q112" s="115">
        <f t="shared" si="18"/>
        <v>0</v>
      </c>
      <c r="R112" s="115">
        <f t="shared" si="18"/>
        <v>0</v>
      </c>
      <c r="S112" s="115">
        <f t="shared" si="18"/>
        <v>0</v>
      </c>
      <c r="T112" s="115">
        <f t="shared" si="18"/>
        <v>0</v>
      </c>
      <c r="U112" s="115">
        <f t="shared" si="18"/>
        <v>0</v>
      </c>
      <c r="V112" s="115">
        <f t="shared" si="18"/>
        <v>0</v>
      </c>
      <c r="W112" s="115">
        <f t="shared" si="18"/>
        <v>0</v>
      </c>
      <c r="X112" s="115">
        <f t="shared" si="18"/>
        <v>0</v>
      </c>
      <c r="Y112" s="115">
        <f t="shared" si="18"/>
        <v>0</v>
      </c>
      <c r="Z112" s="115">
        <f t="shared" si="18"/>
        <v>0</v>
      </c>
      <c r="AA112" s="115">
        <f t="shared" si="18"/>
        <v>0</v>
      </c>
      <c r="AB112" s="115">
        <f t="shared" si="18"/>
        <v>0</v>
      </c>
      <c r="AC112" s="115">
        <f t="shared" si="18"/>
        <v>0</v>
      </c>
      <c r="AD112" s="115">
        <f t="shared" si="18"/>
        <v>0</v>
      </c>
    </row>
    <row r="113" spans="3:30">
      <c r="C113" s="111" t="str">
        <f t="shared" si="9"/>
        <v>--</v>
      </c>
      <c r="D113" s="112" t="str">
        <f t="shared" si="9"/>
        <v xml:space="preserve"> </v>
      </c>
      <c r="E113" s="111" t="str">
        <f t="shared" si="9"/>
        <v xml:space="preserve"> </v>
      </c>
      <c r="F113" s="111" t="str">
        <f t="shared" si="9"/>
        <v xml:space="preserve"> </v>
      </c>
      <c r="G113" s="112" t="str">
        <f t="shared" si="9"/>
        <v xml:space="preserve"> </v>
      </c>
      <c r="H113" s="113" t="str">
        <f t="shared" si="9"/>
        <v xml:space="preserve"> </v>
      </c>
      <c r="I113" s="111" t="str">
        <f t="shared" si="9"/>
        <v xml:space="preserve"> </v>
      </c>
      <c r="J113" s="114" t="str">
        <f t="shared" si="9"/>
        <v xml:space="preserve"> </v>
      </c>
      <c r="K113" s="115">
        <f t="shared" ref="K113:AD113" si="19">IF(AND(ISBLANK(K61),NOT(ISBLANK(L61))),$I61,0)</f>
        <v>0</v>
      </c>
      <c r="L113" s="115">
        <f t="shared" si="19"/>
        <v>0</v>
      </c>
      <c r="M113" s="115">
        <f t="shared" si="19"/>
        <v>0</v>
      </c>
      <c r="N113" s="115">
        <f t="shared" si="19"/>
        <v>0</v>
      </c>
      <c r="O113" s="115">
        <f t="shared" si="19"/>
        <v>0</v>
      </c>
      <c r="P113" s="115">
        <f t="shared" si="19"/>
        <v>0</v>
      </c>
      <c r="Q113" s="115">
        <f t="shared" si="19"/>
        <v>0</v>
      </c>
      <c r="R113" s="115">
        <f t="shared" si="19"/>
        <v>0</v>
      </c>
      <c r="S113" s="115">
        <f t="shared" si="19"/>
        <v>0</v>
      </c>
      <c r="T113" s="115">
        <f t="shared" si="19"/>
        <v>0</v>
      </c>
      <c r="U113" s="115">
        <f t="shared" si="19"/>
        <v>0</v>
      </c>
      <c r="V113" s="115">
        <f t="shared" si="19"/>
        <v>0</v>
      </c>
      <c r="W113" s="115">
        <f t="shared" si="19"/>
        <v>0</v>
      </c>
      <c r="X113" s="115">
        <f t="shared" si="19"/>
        <v>0</v>
      </c>
      <c r="Y113" s="115">
        <f t="shared" si="19"/>
        <v>0</v>
      </c>
      <c r="Z113" s="115">
        <f t="shared" si="19"/>
        <v>0</v>
      </c>
      <c r="AA113" s="115">
        <f t="shared" si="19"/>
        <v>0</v>
      </c>
      <c r="AB113" s="115">
        <f t="shared" si="19"/>
        <v>0</v>
      </c>
      <c r="AC113" s="115">
        <f t="shared" si="19"/>
        <v>0</v>
      </c>
      <c r="AD113" s="115">
        <f t="shared" si="19"/>
        <v>0</v>
      </c>
    </row>
    <row r="114" spans="3:30">
      <c r="C114" s="111" t="str">
        <f t="shared" si="9"/>
        <v>--</v>
      </c>
      <c r="D114" s="112" t="str">
        <f t="shared" si="9"/>
        <v xml:space="preserve"> </v>
      </c>
      <c r="E114" s="111" t="str">
        <f t="shared" si="9"/>
        <v xml:space="preserve"> </v>
      </c>
      <c r="F114" s="111" t="str">
        <f t="shared" si="9"/>
        <v xml:space="preserve"> </v>
      </c>
      <c r="G114" s="112" t="str">
        <f t="shared" si="9"/>
        <v xml:space="preserve"> </v>
      </c>
      <c r="H114" s="113" t="str">
        <f t="shared" si="9"/>
        <v xml:space="preserve"> </v>
      </c>
      <c r="I114" s="111" t="str">
        <f t="shared" si="9"/>
        <v xml:space="preserve"> </v>
      </c>
      <c r="J114" s="114" t="str">
        <f t="shared" si="9"/>
        <v xml:space="preserve"> </v>
      </c>
      <c r="K114" s="115">
        <f t="shared" ref="K114:AD114" si="20">IF(AND(ISBLANK(K62),NOT(ISBLANK(L62))),$I62,0)</f>
        <v>0</v>
      </c>
      <c r="L114" s="115">
        <f t="shared" si="20"/>
        <v>0</v>
      </c>
      <c r="M114" s="115">
        <f t="shared" si="20"/>
        <v>0</v>
      </c>
      <c r="N114" s="115">
        <f t="shared" si="20"/>
        <v>0</v>
      </c>
      <c r="O114" s="115">
        <f t="shared" si="20"/>
        <v>0</v>
      </c>
      <c r="P114" s="115">
        <f t="shared" si="20"/>
        <v>0</v>
      </c>
      <c r="Q114" s="115">
        <f t="shared" si="20"/>
        <v>0</v>
      </c>
      <c r="R114" s="115">
        <f t="shared" si="20"/>
        <v>0</v>
      </c>
      <c r="S114" s="115">
        <f t="shared" si="20"/>
        <v>0</v>
      </c>
      <c r="T114" s="115">
        <f t="shared" si="20"/>
        <v>0</v>
      </c>
      <c r="U114" s="115">
        <f t="shared" si="20"/>
        <v>0</v>
      </c>
      <c r="V114" s="115">
        <f t="shared" si="20"/>
        <v>0</v>
      </c>
      <c r="W114" s="115">
        <f t="shared" si="20"/>
        <v>0</v>
      </c>
      <c r="X114" s="115">
        <f t="shared" si="20"/>
        <v>0</v>
      </c>
      <c r="Y114" s="115">
        <f t="shared" si="20"/>
        <v>0</v>
      </c>
      <c r="Z114" s="115">
        <f t="shared" si="20"/>
        <v>0</v>
      </c>
      <c r="AA114" s="115">
        <f t="shared" si="20"/>
        <v>0</v>
      </c>
      <c r="AB114" s="115">
        <f t="shared" si="20"/>
        <v>0</v>
      </c>
      <c r="AC114" s="115">
        <f t="shared" si="20"/>
        <v>0</v>
      </c>
      <c r="AD114" s="115">
        <f t="shared" si="20"/>
        <v>0</v>
      </c>
    </row>
    <row r="115" spans="3:30">
      <c r="C115" s="111" t="str">
        <f>C63</f>
        <v>--</v>
      </c>
      <c r="D115" s="112" t="str">
        <f t="shared" si="9"/>
        <v xml:space="preserve"> </v>
      </c>
      <c r="E115" s="111" t="str">
        <f t="shared" si="9"/>
        <v xml:space="preserve"> </v>
      </c>
      <c r="F115" s="111" t="str">
        <f t="shared" si="9"/>
        <v xml:space="preserve"> </v>
      </c>
      <c r="G115" s="112" t="str">
        <f t="shared" si="9"/>
        <v xml:space="preserve"> </v>
      </c>
      <c r="H115" s="113" t="str">
        <f t="shared" si="9"/>
        <v xml:space="preserve"> </v>
      </c>
      <c r="I115" s="111" t="str">
        <f t="shared" si="9"/>
        <v xml:space="preserve"> </v>
      </c>
      <c r="J115" s="114" t="str">
        <f t="shared" si="9"/>
        <v xml:space="preserve"> </v>
      </c>
      <c r="K115" s="115">
        <f t="shared" ref="K115:AD115" si="21">IF(AND(ISBLANK(K63),NOT(ISBLANK(L63))),$I63,0)</f>
        <v>0</v>
      </c>
      <c r="L115" s="115">
        <f t="shared" si="21"/>
        <v>0</v>
      </c>
      <c r="M115" s="115">
        <f t="shared" si="21"/>
        <v>0</v>
      </c>
      <c r="N115" s="115">
        <f t="shared" si="21"/>
        <v>0</v>
      </c>
      <c r="O115" s="115">
        <f t="shared" si="21"/>
        <v>0</v>
      </c>
      <c r="P115" s="115">
        <f t="shared" si="21"/>
        <v>0</v>
      </c>
      <c r="Q115" s="115">
        <f t="shared" si="21"/>
        <v>0</v>
      </c>
      <c r="R115" s="115">
        <f t="shared" si="21"/>
        <v>0</v>
      </c>
      <c r="S115" s="115">
        <f t="shared" si="21"/>
        <v>0</v>
      </c>
      <c r="T115" s="115">
        <f t="shared" si="21"/>
        <v>0</v>
      </c>
      <c r="U115" s="115">
        <f t="shared" si="21"/>
        <v>0</v>
      </c>
      <c r="V115" s="115">
        <f t="shared" si="21"/>
        <v>0</v>
      </c>
      <c r="W115" s="115">
        <f t="shared" si="21"/>
        <v>0</v>
      </c>
      <c r="X115" s="115">
        <f t="shared" si="21"/>
        <v>0</v>
      </c>
      <c r="Y115" s="115">
        <f t="shared" si="21"/>
        <v>0</v>
      </c>
      <c r="Z115" s="115">
        <f t="shared" si="21"/>
        <v>0</v>
      </c>
      <c r="AA115" s="115">
        <f t="shared" si="21"/>
        <v>0</v>
      </c>
      <c r="AB115" s="115">
        <f t="shared" si="21"/>
        <v>0</v>
      </c>
      <c r="AC115" s="115">
        <f t="shared" si="21"/>
        <v>0</v>
      </c>
      <c r="AD115" s="115">
        <f t="shared" si="21"/>
        <v>0</v>
      </c>
    </row>
    <row r="116" spans="3:30">
      <c r="C116" s="111" t="str">
        <f t="shared" ref="C116:J123" si="22">C64</f>
        <v>--</v>
      </c>
      <c r="D116" s="112" t="str">
        <f t="shared" si="22"/>
        <v xml:space="preserve"> </v>
      </c>
      <c r="E116" s="111" t="str">
        <f t="shared" si="22"/>
        <v xml:space="preserve"> </v>
      </c>
      <c r="F116" s="111" t="str">
        <f t="shared" si="22"/>
        <v xml:space="preserve"> </v>
      </c>
      <c r="G116" s="112" t="str">
        <f t="shared" si="22"/>
        <v xml:space="preserve"> </v>
      </c>
      <c r="H116" s="113" t="str">
        <f t="shared" si="22"/>
        <v xml:space="preserve"> </v>
      </c>
      <c r="I116" s="111" t="str">
        <f t="shared" si="22"/>
        <v xml:space="preserve"> </v>
      </c>
      <c r="J116" s="114" t="str">
        <f t="shared" si="22"/>
        <v xml:space="preserve"> </v>
      </c>
      <c r="K116" s="115">
        <f t="shared" ref="K116:AD116" si="23">IF(AND(ISBLANK(K64),NOT(ISBLANK(L64))),$I64,0)</f>
        <v>0</v>
      </c>
      <c r="L116" s="115">
        <f t="shared" si="23"/>
        <v>0</v>
      </c>
      <c r="M116" s="115">
        <f t="shared" si="23"/>
        <v>0</v>
      </c>
      <c r="N116" s="115">
        <f t="shared" si="23"/>
        <v>0</v>
      </c>
      <c r="O116" s="115">
        <f t="shared" si="23"/>
        <v>0</v>
      </c>
      <c r="P116" s="115">
        <f t="shared" si="23"/>
        <v>0</v>
      </c>
      <c r="Q116" s="115">
        <f t="shared" si="23"/>
        <v>0</v>
      </c>
      <c r="R116" s="115">
        <f t="shared" si="23"/>
        <v>0</v>
      </c>
      <c r="S116" s="115">
        <f t="shared" si="23"/>
        <v>0</v>
      </c>
      <c r="T116" s="115">
        <f t="shared" si="23"/>
        <v>0</v>
      </c>
      <c r="U116" s="115">
        <f t="shared" si="23"/>
        <v>0</v>
      </c>
      <c r="V116" s="115">
        <f t="shared" si="23"/>
        <v>0</v>
      </c>
      <c r="W116" s="115">
        <f t="shared" si="23"/>
        <v>0</v>
      </c>
      <c r="X116" s="115">
        <f t="shared" si="23"/>
        <v>0</v>
      </c>
      <c r="Y116" s="115">
        <f t="shared" si="23"/>
        <v>0</v>
      </c>
      <c r="Z116" s="115">
        <f t="shared" si="23"/>
        <v>0</v>
      </c>
      <c r="AA116" s="115">
        <f t="shared" si="23"/>
        <v>0</v>
      </c>
      <c r="AB116" s="115">
        <f t="shared" si="23"/>
        <v>0</v>
      </c>
      <c r="AC116" s="115">
        <f t="shared" si="23"/>
        <v>0</v>
      </c>
      <c r="AD116" s="115">
        <f t="shared" si="23"/>
        <v>0</v>
      </c>
    </row>
    <row r="117" spans="3:30">
      <c r="C117" s="111" t="str">
        <f t="shared" si="22"/>
        <v>--</v>
      </c>
      <c r="D117" s="112" t="str">
        <f t="shared" si="22"/>
        <v xml:space="preserve"> </v>
      </c>
      <c r="E117" s="111" t="str">
        <f t="shared" si="22"/>
        <v xml:space="preserve"> </v>
      </c>
      <c r="F117" s="111" t="str">
        <f t="shared" si="22"/>
        <v xml:space="preserve"> </v>
      </c>
      <c r="G117" s="112" t="str">
        <f t="shared" si="22"/>
        <v xml:space="preserve"> </v>
      </c>
      <c r="H117" s="113" t="str">
        <f t="shared" si="22"/>
        <v xml:space="preserve"> </v>
      </c>
      <c r="I117" s="111" t="str">
        <f t="shared" si="22"/>
        <v xml:space="preserve"> </v>
      </c>
      <c r="J117" s="114" t="str">
        <f t="shared" si="22"/>
        <v xml:space="preserve"> </v>
      </c>
      <c r="K117" s="115">
        <f t="shared" ref="K117:AD117" si="24">IF(AND(ISBLANK(K65),NOT(ISBLANK(L65))),$I65,0)</f>
        <v>0</v>
      </c>
      <c r="L117" s="115">
        <f t="shared" si="24"/>
        <v>0</v>
      </c>
      <c r="M117" s="115">
        <f t="shared" si="24"/>
        <v>0</v>
      </c>
      <c r="N117" s="115">
        <f t="shared" si="24"/>
        <v>0</v>
      </c>
      <c r="O117" s="115">
        <f t="shared" si="24"/>
        <v>0</v>
      </c>
      <c r="P117" s="115">
        <f t="shared" si="24"/>
        <v>0</v>
      </c>
      <c r="Q117" s="115">
        <f t="shared" si="24"/>
        <v>0</v>
      </c>
      <c r="R117" s="115">
        <f t="shared" si="24"/>
        <v>0</v>
      </c>
      <c r="S117" s="115">
        <f t="shared" si="24"/>
        <v>0</v>
      </c>
      <c r="T117" s="115">
        <f t="shared" si="24"/>
        <v>0</v>
      </c>
      <c r="U117" s="115">
        <f t="shared" si="24"/>
        <v>0</v>
      </c>
      <c r="V117" s="115">
        <f t="shared" si="24"/>
        <v>0</v>
      </c>
      <c r="W117" s="115">
        <f t="shared" si="24"/>
        <v>0</v>
      </c>
      <c r="X117" s="115">
        <f t="shared" si="24"/>
        <v>0</v>
      </c>
      <c r="Y117" s="115">
        <f t="shared" si="24"/>
        <v>0</v>
      </c>
      <c r="Z117" s="115">
        <f t="shared" si="24"/>
        <v>0</v>
      </c>
      <c r="AA117" s="115">
        <f t="shared" si="24"/>
        <v>0</v>
      </c>
      <c r="AB117" s="115">
        <f t="shared" si="24"/>
        <v>0</v>
      </c>
      <c r="AC117" s="115">
        <f t="shared" si="24"/>
        <v>0</v>
      </c>
      <c r="AD117" s="115">
        <f t="shared" si="24"/>
        <v>0</v>
      </c>
    </row>
    <row r="118" spans="3:30">
      <c r="C118" s="111" t="str">
        <f t="shared" si="22"/>
        <v>--</v>
      </c>
      <c r="D118" s="112" t="str">
        <f t="shared" si="22"/>
        <v xml:space="preserve"> </v>
      </c>
      <c r="E118" s="111" t="str">
        <f t="shared" si="22"/>
        <v xml:space="preserve"> </v>
      </c>
      <c r="F118" s="111" t="str">
        <f t="shared" si="22"/>
        <v xml:space="preserve"> </v>
      </c>
      <c r="G118" s="112" t="str">
        <f t="shared" si="22"/>
        <v xml:space="preserve"> </v>
      </c>
      <c r="H118" s="113" t="str">
        <f t="shared" si="22"/>
        <v xml:space="preserve"> </v>
      </c>
      <c r="I118" s="111" t="str">
        <f t="shared" si="22"/>
        <v xml:space="preserve"> </v>
      </c>
      <c r="J118" s="114" t="str">
        <f t="shared" si="22"/>
        <v xml:space="preserve"> </v>
      </c>
      <c r="K118" s="115">
        <f t="shared" ref="K118:AD118" si="25">IF(AND(ISBLANK(K66),NOT(ISBLANK(L66))),$I66,0)</f>
        <v>0</v>
      </c>
      <c r="L118" s="115">
        <f t="shared" si="25"/>
        <v>0</v>
      </c>
      <c r="M118" s="115">
        <f t="shared" si="25"/>
        <v>0</v>
      </c>
      <c r="N118" s="115">
        <f t="shared" si="25"/>
        <v>0</v>
      </c>
      <c r="O118" s="115">
        <f t="shared" si="25"/>
        <v>0</v>
      </c>
      <c r="P118" s="115">
        <f t="shared" si="25"/>
        <v>0</v>
      </c>
      <c r="Q118" s="115">
        <f t="shared" si="25"/>
        <v>0</v>
      </c>
      <c r="R118" s="115">
        <f t="shared" si="25"/>
        <v>0</v>
      </c>
      <c r="S118" s="115">
        <f t="shared" si="25"/>
        <v>0</v>
      </c>
      <c r="T118" s="115">
        <f t="shared" si="25"/>
        <v>0</v>
      </c>
      <c r="U118" s="115">
        <f t="shared" si="25"/>
        <v>0</v>
      </c>
      <c r="V118" s="115">
        <f t="shared" si="25"/>
        <v>0</v>
      </c>
      <c r="W118" s="115">
        <f t="shared" si="25"/>
        <v>0</v>
      </c>
      <c r="X118" s="115">
        <f t="shared" si="25"/>
        <v>0</v>
      </c>
      <c r="Y118" s="115">
        <f t="shared" si="25"/>
        <v>0</v>
      </c>
      <c r="Z118" s="115">
        <f t="shared" si="25"/>
        <v>0</v>
      </c>
      <c r="AA118" s="115">
        <f t="shared" si="25"/>
        <v>0</v>
      </c>
      <c r="AB118" s="115">
        <f t="shared" si="25"/>
        <v>0</v>
      </c>
      <c r="AC118" s="115">
        <f t="shared" si="25"/>
        <v>0</v>
      </c>
      <c r="AD118" s="115">
        <f t="shared" si="25"/>
        <v>0</v>
      </c>
    </row>
    <row r="119" spans="3:30">
      <c r="C119" s="111" t="str">
        <f t="shared" si="22"/>
        <v>--</v>
      </c>
      <c r="D119" s="112" t="str">
        <f t="shared" si="22"/>
        <v xml:space="preserve"> </v>
      </c>
      <c r="E119" s="111" t="str">
        <f t="shared" si="22"/>
        <v xml:space="preserve"> </v>
      </c>
      <c r="F119" s="111" t="str">
        <f t="shared" si="22"/>
        <v xml:space="preserve"> </v>
      </c>
      <c r="G119" s="112" t="str">
        <f t="shared" si="22"/>
        <v xml:space="preserve"> </v>
      </c>
      <c r="H119" s="113" t="str">
        <f t="shared" si="22"/>
        <v xml:space="preserve"> </v>
      </c>
      <c r="I119" s="111" t="str">
        <f t="shared" si="22"/>
        <v xml:space="preserve"> </v>
      </c>
      <c r="J119" s="114" t="str">
        <f t="shared" si="22"/>
        <v xml:space="preserve"> </v>
      </c>
      <c r="K119" s="115">
        <f t="shared" ref="K119:AD119" si="26">IF(AND(ISBLANK(K67),NOT(ISBLANK(L67))),$I67,0)</f>
        <v>0</v>
      </c>
      <c r="L119" s="115">
        <f t="shared" si="26"/>
        <v>0</v>
      </c>
      <c r="M119" s="115">
        <f t="shared" si="26"/>
        <v>0</v>
      </c>
      <c r="N119" s="115">
        <f t="shared" si="26"/>
        <v>0</v>
      </c>
      <c r="O119" s="115">
        <f t="shared" si="26"/>
        <v>0</v>
      </c>
      <c r="P119" s="115">
        <f t="shared" si="26"/>
        <v>0</v>
      </c>
      <c r="Q119" s="115">
        <f t="shared" si="26"/>
        <v>0</v>
      </c>
      <c r="R119" s="115">
        <f t="shared" si="26"/>
        <v>0</v>
      </c>
      <c r="S119" s="115">
        <f t="shared" si="26"/>
        <v>0</v>
      </c>
      <c r="T119" s="115">
        <f t="shared" si="26"/>
        <v>0</v>
      </c>
      <c r="U119" s="115">
        <f t="shared" si="26"/>
        <v>0</v>
      </c>
      <c r="V119" s="115">
        <f t="shared" si="26"/>
        <v>0</v>
      </c>
      <c r="W119" s="115">
        <f t="shared" si="26"/>
        <v>0</v>
      </c>
      <c r="X119" s="115">
        <f t="shared" si="26"/>
        <v>0</v>
      </c>
      <c r="Y119" s="115">
        <f t="shared" si="26"/>
        <v>0</v>
      </c>
      <c r="Z119" s="115">
        <f t="shared" si="26"/>
        <v>0</v>
      </c>
      <c r="AA119" s="115">
        <f t="shared" si="26"/>
        <v>0</v>
      </c>
      <c r="AB119" s="115">
        <f t="shared" si="26"/>
        <v>0</v>
      </c>
      <c r="AC119" s="115">
        <f t="shared" si="26"/>
        <v>0</v>
      </c>
      <c r="AD119" s="115">
        <f t="shared" si="26"/>
        <v>0</v>
      </c>
    </row>
    <row r="120" spans="3:30">
      <c r="C120" s="111" t="str">
        <f t="shared" si="22"/>
        <v>--</v>
      </c>
      <c r="D120" s="112" t="str">
        <f t="shared" si="22"/>
        <v xml:space="preserve"> </v>
      </c>
      <c r="E120" s="111" t="str">
        <f t="shared" si="22"/>
        <v xml:space="preserve"> </v>
      </c>
      <c r="F120" s="111" t="str">
        <f t="shared" si="22"/>
        <v xml:space="preserve"> </v>
      </c>
      <c r="G120" s="112" t="str">
        <f t="shared" si="22"/>
        <v xml:space="preserve"> </v>
      </c>
      <c r="H120" s="113" t="str">
        <f t="shared" si="22"/>
        <v xml:space="preserve"> </v>
      </c>
      <c r="I120" s="111" t="str">
        <f t="shared" si="22"/>
        <v xml:space="preserve"> </v>
      </c>
      <c r="J120" s="114" t="str">
        <f t="shared" si="22"/>
        <v xml:space="preserve"> </v>
      </c>
      <c r="K120" s="115">
        <f t="shared" ref="K120:AD120" si="27">IF(AND(ISBLANK(K68),NOT(ISBLANK(L68))),$I68,0)</f>
        <v>0</v>
      </c>
      <c r="L120" s="115">
        <f t="shared" si="27"/>
        <v>0</v>
      </c>
      <c r="M120" s="115">
        <f t="shared" si="27"/>
        <v>0</v>
      </c>
      <c r="N120" s="115">
        <f t="shared" si="27"/>
        <v>0</v>
      </c>
      <c r="O120" s="115">
        <f t="shared" si="27"/>
        <v>0</v>
      </c>
      <c r="P120" s="115">
        <f t="shared" si="27"/>
        <v>0</v>
      </c>
      <c r="Q120" s="115">
        <f t="shared" si="27"/>
        <v>0</v>
      </c>
      <c r="R120" s="115">
        <f t="shared" si="27"/>
        <v>0</v>
      </c>
      <c r="S120" s="115">
        <f t="shared" si="27"/>
        <v>0</v>
      </c>
      <c r="T120" s="115">
        <f t="shared" si="27"/>
        <v>0</v>
      </c>
      <c r="U120" s="115">
        <f t="shared" si="27"/>
        <v>0</v>
      </c>
      <c r="V120" s="115">
        <f t="shared" si="27"/>
        <v>0</v>
      </c>
      <c r="W120" s="115">
        <f t="shared" si="27"/>
        <v>0</v>
      </c>
      <c r="X120" s="115">
        <f t="shared" si="27"/>
        <v>0</v>
      </c>
      <c r="Y120" s="115">
        <f t="shared" si="27"/>
        <v>0</v>
      </c>
      <c r="Z120" s="115">
        <f t="shared" si="27"/>
        <v>0</v>
      </c>
      <c r="AA120" s="115">
        <f t="shared" si="27"/>
        <v>0</v>
      </c>
      <c r="AB120" s="115">
        <f t="shared" si="27"/>
        <v>0</v>
      </c>
      <c r="AC120" s="115">
        <f t="shared" si="27"/>
        <v>0</v>
      </c>
      <c r="AD120" s="115">
        <f t="shared" si="27"/>
        <v>0</v>
      </c>
    </row>
    <row r="121" spans="3:30">
      <c r="C121" s="111" t="str">
        <f t="shared" si="22"/>
        <v>--</v>
      </c>
      <c r="D121" s="112" t="str">
        <f t="shared" si="22"/>
        <v xml:space="preserve"> </v>
      </c>
      <c r="E121" s="111" t="str">
        <f t="shared" si="22"/>
        <v xml:space="preserve"> </v>
      </c>
      <c r="F121" s="111" t="str">
        <f t="shared" si="22"/>
        <v xml:space="preserve"> </v>
      </c>
      <c r="G121" s="112" t="str">
        <f t="shared" si="22"/>
        <v xml:space="preserve"> </v>
      </c>
      <c r="H121" s="113" t="str">
        <f t="shared" si="22"/>
        <v xml:space="preserve"> </v>
      </c>
      <c r="I121" s="111" t="str">
        <f t="shared" si="22"/>
        <v xml:space="preserve"> </v>
      </c>
      <c r="J121" s="114" t="str">
        <f t="shared" si="22"/>
        <v xml:space="preserve"> </v>
      </c>
      <c r="K121" s="115">
        <f t="shared" ref="K121:AD121" si="28">IF(AND(ISBLANK(K69),NOT(ISBLANK(L69))),$I69,0)</f>
        <v>0</v>
      </c>
      <c r="L121" s="115">
        <f t="shared" si="28"/>
        <v>0</v>
      </c>
      <c r="M121" s="115">
        <f t="shared" si="28"/>
        <v>0</v>
      </c>
      <c r="N121" s="115">
        <f t="shared" si="28"/>
        <v>0</v>
      </c>
      <c r="O121" s="115">
        <f t="shared" si="28"/>
        <v>0</v>
      </c>
      <c r="P121" s="115">
        <f t="shared" si="28"/>
        <v>0</v>
      </c>
      <c r="Q121" s="115">
        <f t="shared" si="28"/>
        <v>0</v>
      </c>
      <c r="R121" s="115">
        <f t="shared" si="28"/>
        <v>0</v>
      </c>
      <c r="S121" s="115">
        <f t="shared" si="28"/>
        <v>0</v>
      </c>
      <c r="T121" s="115">
        <f t="shared" si="28"/>
        <v>0</v>
      </c>
      <c r="U121" s="115">
        <f t="shared" si="28"/>
        <v>0</v>
      </c>
      <c r="V121" s="115">
        <f t="shared" si="28"/>
        <v>0</v>
      </c>
      <c r="W121" s="115">
        <f t="shared" si="28"/>
        <v>0</v>
      </c>
      <c r="X121" s="115">
        <f t="shared" si="28"/>
        <v>0</v>
      </c>
      <c r="Y121" s="115">
        <f t="shared" si="28"/>
        <v>0</v>
      </c>
      <c r="Z121" s="115">
        <f t="shared" si="28"/>
        <v>0</v>
      </c>
      <c r="AA121" s="115">
        <f t="shared" si="28"/>
        <v>0</v>
      </c>
      <c r="AB121" s="115">
        <f t="shared" si="28"/>
        <v>0</v>
      </c>
      <c r="AC121" s="115">
        <f t="shared" si="28"/>
        <v>0</v>
      </c>
      <c r="AD121" s="115">
        <f t="shared" si="28"/>
        <v>0</v>
      </c>
    </row>
    <row r="122" spans="3:30">
      <c r="C122" s="111" t="str">
        <f t="shared" si="22"/>
        <v>--</v>
      </c>
      <c r="D122" s="112" t="str">
        <f t="shared" si="22"/>
        <v xml:space="preserve"> </v>
      </c>
      <c r="E122" s="111" t="str">
        <f t="shared" si="22"/>
        <v xml:space="preserve"> </v>
      </c>
      <c r="F122" s="111" t="str">
        <f t="shared" si="22"/>
        <v xml:space="preserve"> </v>
      </c>
      <c r="G122" s="112" t="str">
        <f t="shared" si="22"/>
        <v xml:space="preserve"> </v>
      </c>
      <c r="H122" s="113" t="str">
        <f t="shared" si="22"/>
        <v xml:space="preserve"> </v>
      </c>
      <c r="I122" s="111" t="str">
        <f t="shared" si="22"/>
        <v xml:space="preserve"> </v>
      </c>
      <c r="J122" s="114" t="str">
        <f t="shared" si="22"/>
        <v xml:space="preserve"> </v>
      </c>
      <c r="K122" s="115">
        <f t="shared" ref="K122:AD122" si="29">IF(AND(ISBLANK(K70),NOT(ISBLANK(L70))),$I70,0)</f>
        <v>0</v>
      </c>
      <c r="L122" s="115">
        <f t="shared" si="29"/>
        <v>0</v>
      </c>
      <c r="M122" s="115">
        <f t="shared" si="29"/>
        <v>0</v>
      </c>
      <c r="N122" s="115">
        <f t="shared" si="29"/>
        <v>0</v>
      </c>
      <c r="O122" s="115">
        <f t="shared" si="29"/>
        <v>0</v>
      </c>
      <c r="P122" s="115">
        <f t="shared" si="29"/>
        <v>0</v>
      </c>
      <c r="Q122" s="115">
        <f t="shared" si="29"/>
        <v>0</v>
      </c>
      <c r="R122" s="115">
        <f t="shared" si="29"/>
        <v>0</v>
      </c>
      <c r="S122" s="115">
        <f t="shared" si="29"/>
        <v>0</v>
      </c>
      <c r="T122" s="115">
        <f t="shared" si="29"/>
        <v>0</v>
      </c>
      <c r="U122" s="115">
        <f t="shared" si="29"/>
        <v>0</v>
      </c>
      <c r="V122" s="115">
        <f t="shared" si="29"/>
        <v>0</v>
      </c>
      <c r="W122" s="115">
        <f t="shared" si="29"/>
        <v>0</v>
      </c>
      <c r="X122" s="115">
        <f t="shared" si="29"/>
        <v>0</v>
      </c>
      <c r="Y122" s="115">
        <f t="shared" si="29"/>
        <v>0</v>
      </c>
      <c r="Z122" s="115">
        <f t="shared" si="29"/>
        <v>0</v>
      </c>
      <c r="AA122" s="115">
        <f t="shared" si="29"/>
        <v>0</v>
      </c>
      <c r="AB122" s="115">
        <f t="shared" si="29"/>
        <v>0</v>
      </c>
      <c r="AC122" s="115">
        <f t="shared" si="29"/>
        <v>0</v>
      </c>
      <c r="AD122" s="115">
        <f t="shared" si="29"/>
        <v>0</v>
      </c>
    </row>
    <row r="123" spans="3:30">
      <c r="C123" s="111" t="str">
        <f t="shared" si="22"/>
        <v>--</v>
      </c>
      <c r="D123" s="112" t="str">
        <f t="shared" si="22"/>
        <v xml:space="preserve"> </v>
      </c>
      <c r="E123" s="111" t="str">
        <f t="shared" si="22"/>
        <v xml:space="preserve"> </v>
      </c>
      <c r="F123" s="111" t="str">
        <f t="shared" si="22"/>
        <v xml:space="preserve"> </v>
      </c>
      <c r="G123" s="112" t="str">
        <f t="shared" si="22"/>
        <v xml:space="preserve"> </v>
      </c>
      <c r="H123" s="113" t="str">
        <f t="shared" si="22"/>
        <v xml:space="preserve"> </v>
      </c>
      <c r="I123" s="111" t="str">
        <f t="shared" si="22"/>
        <v xml:space="preserve"> </v>
      </c>
      <c r="J123" s="114" t="str">
        <f t="shared" si="22"/>
        <v xml:space="preserve"> </v>
      </c>
      <c r="K123" s="115">
        <f t="shared" ref="K123:AD123" si="30">IF(AND(ISBLANK(K71),NOT(ISBLANK(L71))),$I71,0)</f>
        <v>0</v>
      </c>
      <c r="L123" s="115">
        <f t="shared" si="30"/>
        <v>0</v>
      </c>
      <c r="M123" s="115">
        <f t="shared" si="30"/>
        <v>0</v>
      </c>
      <c r="N123" s="115">
        <f t="shared" si="30"/>
        <v>0</v>
      </c>
      <c r="O123" s="115">
        <f t="shared" si="30"/>
        <v>0</v>
      </c>
      <c r="P123" s="115">
        <f t="shared" si="30"/>
        <v>0</v>
      </c>
      <c r="Q123" s="115">
        <f t="shared" si="30"/>
        <v>0</v>
      </c>
      <c r="R123" s="115">
        <f t="shared" si="30"/>
        <v>0</v>
      </c>
      <c r="S123" s="115">
        <f t="shared" si="30"/>
        <v>0</v>
      </c>
      <c r="T123" s="115">
        <f t="shared" si="30"/>
        <v>0</v>
      </c>
      <c r="U123" s="115">
        <f t="shared" si="30"/>
        <v>0</v>
      </c>
      <c r="V123" s="115">
        <f t="shared" si="30"/>
        <v>0</v>
      </c>
      <c r="W123" s="115">
        <f t="shared" si="30"/>
        <v>0</v>
      </c>
      <c r="X123" s="115">
        <f t="shared" si="30"/>
        <v>0</v>
      </c>
      <c r="Y123" s="115">
        <f t="shared" si="30"/>
        <v>0</v>
      </c>
      <c r="Z123" s="115">
        <f t="shared" si="30"/>
        <v>0</v>
      </c>
      <c r="AA123" s="115">
        <f t="shared" si="30"/>
        <v>0</v>
      </c>
      <c r="AB123" s="115">
        <f t="shared" si="30"/>
        <v>0</v>
      </c>
      <c r="AC123" s="115">
        <f t="shared" si="30"/>
        <v>0</v>
      </c>
      <c r="AD123" s="115">
        <f t="shared" si="30"/>
        <v>0</v>
      </c>
    </row>
    <row r="151" spans="3:30">
      <c r="G151" s="25"/>
      <c r="I151" s="105"/>
      <c r="K151" s="127">
        <v>2024</v>
      </c>
      <c r="L151" s="127">
        <v>2024.25</v>
      </c>
      <c r="M151" s="127">
        <v>2024.5</v>
      </c>
      <c r="N151" s="127">
        <v>2024.75</v>
      </c>
      <c r="O151" s="127">
        <v>2025</v>
      </c>
      <c r="P151" s="127">
        <v>2025.25</v>
      </c>
      <c r="Q151" s="127">
        <f t="shared" ref="Q151:AD151" si="31">P151+0.25</f>
        <v>2025.5</v>
      </c>
      <c r="R151" s="127">
        <f t="shared" si="31"/>
        <v>2025.75</v>
      </c>
      <c r="S151" s="127">
        <f t="shared" si="31"/>
        <v>2026</v>
      </c>
      <c r="T151" s="127">
        <f t="shared" si="31"/>
        <v>2026.25</v>
      </c>
      <c r="U151" s="127">
        <f t="shared" si="31"/>
        <v>2026.5</v>
      </c>
      <c r="V151" s="127">
        <f t="shared" si="31"/>
        <v>2026.75</v>
      </c>
      <c r="W151" s="127">
        <f t="shared" si="31"/>
        <v>2027</v>
      </c>
      <c r="X151" s="127">
        <f t="shared" si="31"/>
        <v>2027.25</v>
      </c>
      <c r="Y151" s="127">
        <f t="shared" si="31"/>
        <v>2027.5</v>
      </c>
      <c r="Z151" s="127">
        <f t="shared" si="31"/>
        <v>2027.75</v>
      </c>
      <c r="AA151" s="127">
        <f t="shared" si="31"/>
        <v>2028</v>
      </c>
      <c r="AB151" s="127">
        <f t="shared" si="31"/>
        <v>2028.25</v>
      </c>
      <c r="AC151" s="127">
        <f t="shared" si="31"/>
        <v>2028.5</v>
      </c>
      <c r="AD151" s="127">
        <f t="shared" si="31"/>
        <v>2028.75</v>
      </c>
    </row>
    <row r="152" spans="3:30">
      <c r="G152" s="25"/>
      <c r="I152" s="105"/>
      <c r="J152" s="128" t="s">
        <v>26</v>
      </c>
      <c r="K152" s="4">
        <f t="shared" ref="K152:T155" si="32">SUMIF($F$156:$F$176,$J152,K$156:K$176)</f>
        <v>24</v>
      </c>
      <c r="L152" s="4">
        <f t="shared" si="32"/>
        <v>24</v>
      </c>
      <c r="M152" s="4">
        <f t="shared" si="32"/>
        <v>24</v>
      </c>
      <c r="N152" s="4">
        <f t="shared" si="32"/>
        <v>24</v>
      </c>
      <c r="O152" s="4">
        <f t="shared" si="32"/>
        <v>24</v>
      </c>
      <c r="P152" s="4">
        <f t="shared" si="32"/>
        <v>24</v>
      </c>
      <c r="Q152" s="4">
        <f t="shared" si="32"/>
        <v>40</v>
      </c>
      <c r="R152" s="4">
        <f t="shared" si="32"/>
        <v>40</v>
      </c>
      <c r="S152" s="4">
        <f t="shared" si="32"/>
        <v>40</v>
      </c>
      <c r="T152" s="4">
        <f t="shared" si="32"/>
        <v>40</v>
      </c>
      <c r="U152" s="4">
        <f t="shared" ref="U152:AD155" si="33">SUMIF($F$156:$F$176,$J152,U$156:U$176)</f>
        <v>40</v>
      </c>
      <c r="V152" s="4">
        <f t="shared" si="33"/>
        <v>40</v>
      </c>
      <c r="W152" s="4">
        <f t="shared" si="33"/>
        <v>40</v>
      </c>
      <c r="X152" s="4">
        <f t="shared" si="33"/>
        <v>40</v>
      </c>
      <c r="Y152" s="4">
        <f t="shared" si="33"/>
        <v>40</v>
      </c>
      <c r="Z152" s="4">
        <f t="shared" si="33"/>
        <v>40</v>
      </c>
      <c r="AA152" s="4">
        <f t="shared" si="33"/>
        <v>40</v>
      </c>
      <c r="AB152" s="4">
        <f t="shared" si="33"/>
        <v>40</v>
      </c>
      <c r="AC152" s="4">
        <f t="shared" si="33"/>
        <v>40</v>
      </c>
      <c r="AD152" s="4">
        <f t="shared" si="33"/>
        <v>40</v>
      </c>
    </row>
    <row r="153" spans="3:30">
      <c r="G153" s="25"/>
      <c r="I153" s="105"/>
      <c r="J153" s="128" t="s">
        <v>27</v>
      </c>
      <c r="K153" s="4">
        <f t="shared" si="32"/>
        <v>19200</v>
      </c>
      <c r="L153" s="4">
        <f t="shared" si="32"/>
        <v>19200</v>
      </c>
      <c r="M153" s="4">
        <f t="shared" si="32"/>
        <v>19200</v>
      </c>
      <c r="N153" s="4">
        <f t="shared" si="32"/>
        <v>19200</v>
      </c>
      <c r="O153" s="4">
        <f t="shared" si="32"/>
        <v>19200</v>
      </c>
      <c r="P153" s="4">
        <f t="shared" si="32"/>
        <v>19200</v>
      </c>
      <c r="Q153" s="4">
        <f t="shared" si="32"/>
        <v>21760</v>
      </c>
      <c r="R153" s="4">
        <f t="shared" si="32"/>
        <v>21760</v>
      </c>
      <c r="S153" s="4">
        <f t="shared" si="32"/>
        <v>21760</v>
      </c>
      <c r="T153" s="4">
        <f t="shared" si="32"/>
        <v>21760</v>
      </c>
      <c r="U153" s="4">
        <f t="shared" si="33"/>
        <v>21760</v>
      </c>
      <c r="V153" s="4">
        <f t="shared" si="33"/>
        <v>21760</v>
      </c>
      <c r="W153" s="4">
        <f t="shared" si="33"/>
        <v>21760</v>
      </c>
      <c r="X153" s="4">
        <f t="shared" si="33"/>
        <v>21760</v>
      </c>
      <c r="Y153" s="4">
        <f t="shared" si="33"/>
        <v>21760</v>
      </c>
      <c r="Z153" s="4">
        <f t="shared" si="33"/>
        <v>21760</v>
      </c>
      <c r="AA153" s="4">
        <f t="shared" si="33"/>
        <v>21760</v>
      </c>
      <c r="AB153" s="4">
        <f t="shared" si="33"/>
        <v>21760</v>
      </c>
      <c r="AC153" s="4">
        <f t="shared" si="33"/>
        <v>21760</v>
      </c>
      <c r="AD153" s="4">
        <f t="shared" si="33"/>
        <v>21760</v>
      </c>
    </row>
    <row r="154" spans="3:30">
      <c r="G154" s="25"/>
      <c r="I154" s="105"/>
      <c r="J154" s="128" t="s">
        <v>29</v>
      </c>
      <c r="K154" s="4">
        <f t="shared" si="32"/>
        <v>74.2</v>
      </c>
      <c r="L154" s="4">
        <f t="shared" si="32"/>
        <v>74.2</v>
      </c>
      <c r="M154" s="4">
        <f t="shared" si="32"/>
        <v>74.2</v>
      </c>
      <c r="N154" s="4">
        <f t="shared" si="32"/>
        <v>74.2</v>
      </c>
      <c r="O154" s="4">
        <f t="shared" si="32"/>
        <v>74.2</v>
      </c>
      <c r="P154" s="4">
        <f t="shared" si="32"/>
        <v>74.2</v>
      </c>
      <c r="Q154" s="4">
        <f t="shared" si="32"/>
        <v>84.8</v>
      </c>
      <c r="R154" s="4">
        <f t="shared" si="32"/>
        <v>84.8</v>
      </c>
      <c r="S154" s="4">
        <f t="shared" si="32"/>
        <v>84.8</v>
      </c>
      <c r="T154" s="4">
        <f t="shared" si="32"/>
        <v>84.8</v>
      </c>
      <c r="U154" s="4">
        <f t="shared" si="33"/>
        <v>84.8</v>
      </c>
      <c r="V154" s="4">
        <f t="shared" si="33"/>
        <v>84.8</v>
      </c>
      <c r="W154" s="4">
        <f t="shared" si="33"/>
        <v>84.8</v>
      </c>
      <c r="X154" s="4">
        <f t="shared" si="33"/>
        <v>84.8</v>
      </c>
      <c r="Y154" s="4">
        <f t="shared" si="33"/>
        <v>84.8</v>
      </c>
      <c r="Z154" s="4">
        <f t="shared" si="33"/>
        <v>84.8</v>
      </c>
      <c r="AA154" s="4">
        <f t="shared" si="33"/>
        <v>84.8</v>
      </c>
      <c r="AB154" s="4">
        <f t="shared" si="33"/>
        <v>84.8</v>
      </c>
      <c r="AC154" s="4">
        <f t="shared" si="33"/>
        <v>84.8</v>
      </c>
      <c r="AD154" s="4">
        <f t="shared" si="33"/>
        <v>84.8</v>
      </c>
    </row>
    <row r="155" spans="3:30">
      <c r="G155" s="25"/>
      <c r="I155" s="105"/>
      <c r="J155" s="128" t="s">
        <v>30</v>
      </c>
      <c r="K155" s="4">
        <f t="shared" si="32"/>
        <v>5.3999999999999995</v>
      </c>
      <c r="L155" s="4">
        <f t="shared" si="32"/>
        <v>5.3999999999999995</v>
      </c>
      <c r="M155" s="4">
        <f t="shared" si="32"/>
        <v>5.3999999999999995</v>
      </c>
      <c r="N155" s="4">
        <f t="shared" si="32"/>
        <v>5.3999999999999995</v>
      </c>
      <c r="O155" s="4">
        <f t="shared" si="32"/>
        <v>5.3999999999999995</v>
      </c>
      <c r="P155" s="4">
        <f t="shared" si="32"/>
        <v>5.3999999999999995</v>
      </c>
      <c r="Q155" s="4">
        <f t="shared" si="32"/>
        <v>10.199999999999999</v>
      </c>
      <c r="R155" s="4">
        <f t="shared" si="32"/>
        <v>10.199999999999999</v>
      </c>
      <c r="S155" s="4">
        <f t="shared" si="32"/>
        <v>10.199999999999999</v>
      </c>
      <c r="T155" s="4">
        <f t="shared" si="32"/>
        <v>10.199999999999999</v>
      </c>
      <c r="U155" s="4">
        <f t="shared" si="33"/>
        <v>10.199999999999999</v>
      </c>
      <c r="V155" s="4">
        <f t="shared" si="33"/>
        <v>10.199999999999999</v>
      </c>
      <c r="W155" s="4">
        <f t="shared" si="33"/>
        <v>10.199999999999999</v>
      </c>
      <c r="X155" s="4">
        <f t="shared" si="33"/>
        <v>10.199999999999999</v>
      </c>
      <c r="Y155" s="4">
        <f t="shared" si="33"/>
        <v>10.199999999999999</v>
      </c>
      <c r="Z155" s="4">
        <f t="shared" si="33"/>
        <v>10.199999999999999</v>
      </c>
      <c r="AA155" s="4">
        <f t="shared" si="33"/>
        <v>10.199999999999999</v>
      </c>
      <c r="AB155" s="4">
        <f t="shared" si="33"/>
        <v>10.199999999999999</v>
      </c>
      <c r="AC155" s="4">
        <f t="shared" si="33"/>
        <v>10.199999999999999</v>
      </c>
      <c r="AD155" s="4">
        <f t="shared" si="33"/>
        <v>10.199999999999999</v>
      </c>
    </row>
    <row r="156" spans="3:30">
      <c r="C156" s="109" t="str">
        <f t="shared" ref="C156:C176" si="34">C103</f>
        <v>HPC1</v>
      </c>
      <c r="D156" s="14"/>
      <c r="E156" s="123"/>
      <c r="F156" s="124" t="str">
        <f t="shared" ref="F156:F176" si="35">F103</f>
        <v>CPU</v>
      </c>
      <c r="G156" s="14"/>
      <c r="H156" s="124"/>
      <c r="I156" s="125"/>
      <c r="J156" s="126"/>
      <c r="K156" s="3">
        <f>IF(NOT(ISBLANK(K51)),$J51,0)</f>
        <v>19200</v>
      </c>
      <c r="L156" s="3">
        <f t="shared" ref="L156:AD156" si="36">IF(NOT(ISBLANK(L51)),$J51,0)</f>
        <v>19200</v>
      </c>
      <c r="M156" s="3">
        <f t="shared" si="36"/>
        <v>19200</v>
      </c>
      <c r="N156" s="3">
        <f t="shared" si="36"/>
        <v>19200</v>
      </c>
      <c r="O156" s="3">
        <f t="shared" si="36"/>
        <v>19200</v>
      </c>
      <c r="P156" s="3">
        <f t="shared" si="36"/>
        <v>19200</v>
      </c>
      <c r="Q156" s="3">
        <f t="shared" si="36"/>
        <v>19200</v>
      </c>
      <c r="R156" s="3">
        <f t="shared" si="36"/>
        <v>19200</v>
      </c>
      <c r="S156" s="3">
        <f t="shared" si="36"/>
        <v>19200</v>
      </c>
      <c r="T156" s="3">
        <f t="shared" si="36"/>
        <v>19200</v>
      </c>
      <c r="U156" s="3">
        <f t="shared" si="36"/>
        <v>19200</v>
      </c>
      <c r="V156" s="3">
        <f t="shared" si="36"/>
        <v>19200</v>
      </c>
      <c r="W156" s="3">
        <f t="shared" si="36"/>
        <v>19200</v>
      </c>
      <c r="X156" s="3">
        <f t="shared" si="36"/>
        <v>19200</v>
      </c>
      <c r="Y156" s="3">
        <f t="shared" si="36"/>
        <v>19200</v>
      </c>
      <c r="Z156" s="3">
        <f t="shared" si="36"/>
        <v>19200</v>
      </c>
      <c r="AA156" s="3">
        <f t="shared" si="36"/>
        <v>19200</v>
      </c>
      <c r="AB156" s="3">
        <f t="shared" si="36"/>
        <v>19200</v>
      </c>
      <c r="AC156" s="3">
        <f t="shared" si="36"/>
        <v>19200</v>
      </c>
      <c r="AD156" s="3">
        <f t="shared" si="36"/>
        <v>19200</v>
      </c>
    </row>
    <row r="157" spans="3:30">
      <c r="C157" s="109" t="str">
        <f t="shared" si="34"/>
        <v>V100-4</v>
      </c>
      <c r="D157" s="14"/>
      <c r="E157" s="123"/>
      <c r="F157" s="124" t="str">
        <f t="shared" si="35"/>
        <v>GPU</v>
      </c>
      <c r="G157" s="14"/>
      <c r="H157" s="124"/>
      <c r="I157" s="125"/>
      <c r="J157" s="126"/>
      <c r="K157" s="3">
        <f t="shared" ref="K157:AD169" si="37">IF(NOT(ISBLANK(K52)),$J52,0)</f>
        <v>24</v>
      </c>
      <c r="L157" s="3">
        <f t="shared" si="37"/>
        <v>24</v>
      </c>
      <c r="M157" s="3">
        <f t="shared" si="37"/>
        <v>24</v>
      </c>
      <c r="N157" s="3">
        <f t="shared" si="37"/>
        <v>24</v>
      </c>
      <c r="O157" s="3">
        <f t="shared" si="37"/>
        <v>24</v>
      </c>
      <c r="P157" s="3">
        <f t="shared" si="37"/>
        <v>24</v>
      </c>
      <c r="Q157" s="3">
        <f t="shared" si="37"/>
        <v>24</v>
      </c>
      <c r="R157" s="3">
        <f t="shared" si="37"/>
        <v>24</v>
      </c>
      <c r="S157" s="3">
        <f t="shared" si="37"/>
        <v>24</v>
      </c>
      <c r="T157" s="3">
        <f t="shared" si="37"/>
        <v>24</v>
      </c>
      <c r="U157" s="3">
        <f t="shared" si="37"/>
        <v>24</v>
      </c>
      <c r="V157" s="3">
        <f t="shared" si="37"/>
        <v>24</v>
      </c>
      <c r="W157" s="3">
        <f t="shared" si="37"/>
        <v>24</v>
      </c>
      <c r="X157" s="3">
        <f t="shared" si="37"/>
        <v>24</v>
      </c>
      <c r="Y157" s="3">
        <f t="shared" si="37"/>
        <v>24</v>
      </c>
      <c r="Z157" s="3">
        <f t="shared" si="37"/>
        <v>24</v>
      </c>
      <c r="AA157" s="3">
        <f t="shared" si="37"/>
        <v>24</v>
      </c>
      <c r="AB157" s="3">
        <f t="shared" si="37"/>
        <v>24</v>
      </c>
      <c r="AC157" s="3">
        <f t="shared" si="37"/>
        <v>24</v>
      </c>
      <c r="AD157" s="3">
        <f t="shared" si="37"/>
        <v>24</v>
      </c>
    </row>
    <row r="158" spans="3:30">
      <c r="C158" s="109" t="str">
        <f t="shared" si="34"/>
        <v>HDD</v>
      </c>
      <c r="D158" s="14"/>
      <c r="E158" s="123"/>
      <c r="F158" s="124" t="str">
        <f t="shared" si="35"/>
        <v>Hdisk</v>
      </c>
      <c r="G158" s="14"/>
      <c r="H158" s="124"/>
      <c r="I158" s="125"/>
      <c r="J158" s="126"/>
      <c r="K158" s="3">
        <f t="shared" si="37"/>
        <v>74.2</v>
      </c>
      <c r="L158" s="3">
        <f t="shared" si="37"/>
        <v>74.2</v>
      </c>
      <c r="M158" s="3">
        <f t="shared" si="37"/>
        <v>74.2</v>
      </c>
      <c r="N158" s="3">
        <f t="shared" si="37"/>
        <v>74.2</v>
      </c>
      <c r="O158" s="3">
        <f t="shared" si="37"/>
        <v>74.2</v>
      </c>
      <c r="P158" s="3">
        <f t="shared" si="37"/>
        <v>74.2</v>
      </c>
      <c r="Q158" s="3">
        <f t="shared" si="37"/>
        <v>74.2</v>
      </c>
      <c r="R158" s="3">
        <f t="shared" si="37"/>
        <v>74.2</v>
      </c>
      <c r="S158" s="3">
        <f t="shared" si="37"/>
        <v>74.2</v>
      </c>
      <c r="T158" s="3">
        <f t="shared" si="37"/>
        <v>74.2</v>
      </c>
      <c r="U158" s="3">
        <f t="shared" si="37"/>
        <v>74.2</v>
      </c>
      <c r="V158" s="3">
        <f t="shared" si="37"/>
        <v>74.2</v>
      </c>
      <c r="W158" s="3">
        <f t="shared" si="37"/>
        <v>74.2</v>
      </c>
      <c r="X158" s="3">
        <f t="shared" si="37"/>
        <v>74.2</v>
      </c>
      <c r="Y158" s="3">
        <f t="shared" si="37"/>
        <v>74.2</v>
      </c>
      <c r="Z158" s="3">
        <f t="shared" si="37"/>
        <v>74.2</v>
      </c>
      <c r="AA158" s="3">
        <f t="shared" si="37"/>
        <v>74.2</v>
      </c>
      <c r="AB158" s="3">
        <f t="shared" si="37"/>
        <v>74.2</v>
      </c>
      <c r="AC158" s="3">
        <f t="shared" si="37"/>
        <v>74.2</v>
      </c>
      <c r="AD158" s="3">
        <f t="shared" si="37"/>
        <v>74.2</v>
      </c>
    </row>
    <row r="159" spans="3:30">
      <c r="C159" s="109" t="str">
        <f t="shared" si="34"/>
        <v>SSD</v>
      </c>
      <c r="D159" s="14"/>
      <c r="E159" s="123"/>
      <c r="F159" s="124" t="str">
        <f t="shared" si="35"/>
        <v>Sdisk</v>
      </c>
      <c r="G159" s="14"/>
      <c r="H159" s="124"/>
      <c r="I159" s="125"/>
      <c r="J159" s="126"/>
      <c r="K159" s="3">
        <f t="shared" si="37"/>
        <v>5.3999999999999995</v>
      </c>
      <c r="L159" s="3">
        <f t="shared" si="37"/>
        <v>5.3999999999999995</v>
      </c>
      <c r="M159" s="3">
        <f t="shared" si="37"/>
        <v>5.3999999999999995</v>
      </c>
      <c r="N159" s="3">
        <f t="shared" si="37"/>
        <v>5.3999999999999995</v>
      </c>
      <c r="O159" s="3">
        <f t="shared" si="37"/>
        <v>5.3999999999999995</v>
      </c>
      <c r="P159" s="3">
        <f t="shared" si="37"/>
        <v>5.3999999999999995</v>
      </c>
      <c r="Q159" s="3">
        <f t="shared" si="37"/>
        <v>5.3999999999999995</v>
      </c>
      <c r="R159" s="3">
        <f t="shared" si="37"/>
        <v>5.3999999999999995</v>
      </c>
      <c r="S159" s="3">
        <f t="shared" si="37"/>
        <v>5.3999999999999995</v>
      </c>
      <c r="T159" s="3">
        <f t="shared" si="37"/>
        <v>5.3999999999999995</v>
      </c>
      <c r="U159" s="3">
        <f t="shared" si="37"/>
        <v>5.3999999999999995</v>
      </c>
      <c r="V159" s="3">
        <f t="shared" si="37"/>
        <v>5.3999999999999995</v>
      </c>
      <c r="W159" s="3">
        <f t="shared" si="37"/>
        <v>5.3999999999999995</v>
      </c>
      <c r="X159" s="3">
        <f t="shared" si="37"/>
        <v>5.3999999999999995</v>
      </c>
      <c r="Y159" s="3">
        <f t="shared" si="37"/>
        <v>5.3999999999999995</v>
      </c>
      <c r="Z159" s="3">
        <f t="shared" si="37"/>
        <v>5.3999999999999995</v>
      </c>
      <c r="AA159" s="3">
        <f t="shared" si="37"/>
        <v>5.3999999999999995</v>
      </c>
      <c r="AB159" s="3">
        <f t="shared" si="37"/>
        <v>5.3999999999999995</v>
      </c>
      <c r="AC159" s="3">
        <f t="shared" si="37"/>
        <v>5.3999999999999995</v>
      </c>
      <c r="AD159" s="3">
        <f t="shared" si="37"/>
        <v>5.3999999999999995</v>
      </c>
    </row>
    <row r="160" spans="3:30">
      <c r="C160" s="109" t="str">
        <f t="shared" si="34"/>
        <v>H100-4</v>
      </c>
      <c r="D160" s="14"/>
      <c r="E160" s="123"/>
      <c r="F160" s="124" t="str">
        <f t="shared" si="35"/>
        <v>GPU</v>
      </c>
      <c r="G160" s="14"/>
      <c r="H160" s="124"/>
      <c r="I160" s="125"/>
      <c r="J160" s="126"/>
      <c r="K160" s="3">
        <f t="shared" si="37"/>
        <v>0</v>
      </c>
      <c r="L160" s="3">
        <f t="shared" si="37"/>
        <v>0</v>
      </c>
      <c r="M160" s="3">
        <f t="shared" si="37"/>
        <v>0</v>
      </c>
      <c r="N160" s="3">
        <f t="shared" si="37"/>
        <v>0</v>
      </c>
      <c r="O160" s="3">
        <f t="shared" si="37"/>
        <v>0</v>
      </c>
      <c r="P160" s="3">
        <f t="shared" si="37"/>
        <v>0</v>
      </c>
      <c r="Q160" s="3">
        <f t="shared" si="37"/>
        <v>16</v>
      </c>
      <c r="R160" s="3">
        <f t="shared" si="37"/>
        <v>16</v>
      </c>
      <c r="S160" s="3">
        <f t="shared" si="37"/>
        <v>16</v>
      </c>
      <c r="T160" s="3">
        <f t="shared" si="37"/>
        <v>16</v>
      </c>
      <c r="U160" s="3">
        <f t="shared" si="37"/>
        <v>16</v>
      </c>
      <c r="V160" s="3">
        <f t="shared" si="37"/>
        <v>16</v>
      </c>
      <c r="W160" s="3">
        <f t="shared" si="37"/>
        <v>16</v>
      </c>
      <c r="X160" s="3">
        <f t="shared" si="37"/>
        <v>16</v>
      </c>
      <c r="Y160" s="3">
        <f t="shared" si="37"/>
        <v>16</v>
      </c>
      <c r="Z160" s="3">
        <f t="shared" si="37"/>
        <v>16</v>
      </c>
      <c r="AA160" s="3">
        <f t="shared" si="37"/>
        <v>16</v>
      </c>
      <c r="AB160" s="3">
        <f t="shared" si="37"/>
        <v>16</v>
      </c>
      <c r="AC160" s="3">
        <f t="shared" si="37"/>
        <v>16</v>
      </c>
      <c r="AD160" s="3">
        <f t="shared" si="37"/>
        <v>16</v>
      </c>
    </row>
    <row r="161" spans="3:30">
      <c r="C161" s="109" t="str">
        <f t="shared" si="34"/>
        <v>HPC2</v>
      </c>
      <c r="D161" s="14"/>
      <c r="E161" s="123"/>
      <c r="F161" s="124" t="str">
        <f t="shared" si="35"/>
        <v>CPU</v>
      </c>
      <c r="G161" s="14"/>
      <c r="H161" s="124"/>
      <c r="I161" s="125"/>
      <c r="J161" s="126"/>
      <c r="K161" s="3">
        <f t="shared" si="37"/>
        <v>0</v>
      </c>
      <c r="L161" s="3">
        <f t="shared" si="37"/>
        <v>0</v>
      </c>
      <c r="M161" s="3">
        <f t="shared" si="37"/>
        <v>0</v>
      </c>
      <c r="N161" s="3">
        <f t="shared" si="37"/>
        <v>0</v>
      </c>
      <c r="O161" s="3">
        <f t="shared" si="37"/>
        <v>0</v>
      </c>
      <c r="P161" s="3">
        <f t="shared" si="37"/>
        <v>0</v>
      </c>
      <c r="Q161" s="3">
        <f t="shared" si="37"/>
        <v>2560</v>
      </c>
      <c r="R161" s="3">
        <f t="shared" si="37"/>
        <v>2560</v>
      </c>
      <c r="S161" s="3">
        <f t="shared" si="37"/>
        <v>2560</v>
      </c>
      <c r="T161" s="3">
        <f t="shared" si="37"/>
        <v>2560</v>
      </c>
      <c r="U161" s="3">
        <f t="shared" si="37"/>
        <v>2560</v>
      </c>
      <c r="V161" s="3">
        <f t="shared" si="37"/>
        <v>2560</v>
      </c>
      <c r="W161" s="3">
        <f t="shared" si="37"/>
        <v>2560</v>
      </c>
      <c r="X161" s="3">
        <f t="shared" si="37"/>
        <v>2560</v>
      </c>
      <c r="Y161" s="3">
        <f t="shared" si="37"/>
        <v>2560</v>
      </c>
      <c r="Z161" s="3">
        <f t="shared" si="37"/>
        <v>2560</v>
      </c>
      <c r="AA161" s="3">
        <f t="shared" si="37"/>
        <v>2560</v>
      </c>
      <c r="AB161" s="3">
        <f t="shared" si="37"/>
        <v>2560</v>
      </c>
      <c r="AC161" s="3">
        <f t="shared" si="37"/>
        <v>2560</v>
      </c>
      <c r="AD161" s="3">
        <f t="shared" si="37"/>
        <v>2560</v>
      </c>
    </row>
    <row r="162" spans="3:30">
      <c r="C162" s="109" t="str">
        <f t="shared" si="34"/>
        <v>HDD</v>
      </c>
      <c r="D162" s="14"/>
      <c r="E162" s="123"/>
      <c r="F162" s="124" t="str">
        <f t="shared" si="35"/>
        <v>Hdisk</v>
      </c>
      <c r="G162" s="14"/>
      <c r="H162" s="124"/>
      <c r="I162" s="125"/>
      <c r="J162" s="126"/>
      <c r="K162" s="3">
        <f t="shared" si="37"/>
        <v>0</v>
      </c>
      <c r="L162" s="3">
        <f t="shared" si="37"/>
        <v>0</v>
      </c>
      <c r="M162" s="3">
        <f t="shared" si="37"/>
        <v>0</v>
      </c>
      <c r="N162" s="3">
        <f t="shared" si="37"/>
        <v>0</v>
      </c>
      <c r="O162" s="3">
        <f t="shared" si="37"/>
        <v>0</v>
      </c>
      <c r="P162" s="3">
        <f t="shared" si="37"/>
        <v>0</v>
      </c>
      <c r="Q162" s="3">
        <f t="shared" si="37"/>
        <v>10.6</v>
      </c>
      <c r="R162" s="3">
        <f t="shared" si="37"/>
        <v>10.6</v>
      </c>
      <c r="S162" s="3">
        <f t="shared" si="37"/>
        <v>10.6</v>
      </c>
      <c r="T162" s="3">
        <f t="shared" si="37"/>
        <v>10.6</v>
      </c>
      <c r="U162" s="3">
        <f t="shared" si="37"/>
        <v>10.6</v>
      </c>
      <c r="V162" s="3">
        <f t="shared" si="37"/>
        <v>10.6</v>
      </c>
      <c r="W162" s="3">
        <f t="shared" si="37"/>
        <v>10.6</v>
      </c>
      <c r="X162" s="3">
        <f t="shared" si="37"/>
        <v>10.6</v>
      </c>
      <c r="Y162" s="3">
        <f t="shared" si="37"/>
        <v>10.6</v>
      </c>
      <c r="Z162" s="3">
        <f t="shared" si="37"/>
        <v>10.6</v>
      </c>
      <c r="AA162" s="3">
        <f t="shared" si="37"/>
        <v>10.6</v>
      </c>
      <c r="AB162" s="3">
        <f t="shared" si="37"/>
        <v>10.6</v>
      </c>
      <c r="AC162" s="3">
        <f t="shared" si="37"/>
        <v>10.6</v>
      </c>
      <c r="AD162" s="3">
        <f t="shared" si="37"/>
        <v>10.6</v>
      </c>
    </row>
    <row r="163" spans="3:30">
      <c r="C163" s="109" t="str">
        <f t="shared" si="34"/>
        <v>SSD</v>
      </c>
      <c r="D163" s="14"/>
      <c r="E163" s="123"/>
      <c r="F163" s="124" t="str">
        <f t="shared" si="35"/>
        <v>Sdisk</v>
      </c>
      <c r="G163" s="14"/>
      <c r="H163" s="124"/>
      <c r="I163" s="125"/>
      <c r="J163" s="126"/>
      <c r="K163" s="3">
        <f t="shared" si="37"/>
        <v>0</v>
      </c>
      <c r="L163" s="3">
        <f t="shared" si="37"/>
        <v>0</v>
      </c>
      <c r="M163" s="3">
        <f t="shared" si="37"/>
        <v>0</v>
      </c>
      <c r="N163" s="3">
        <f t="shared" si="37"/>
        <v>0</v>
      </c>
      <c r="O163" s="3">
        <f t="shared" si="37"/>
        <v>0</v>
      </c>
      <c r="P163" s="3">
        <f t="shared" si="37"/>
        <v>0</v>
      </c>
      <c r="Q163" s="3">
        <f t="shared" si="37"/>
        <v>4.8</v>
      </c>
      <c r="R163" s="3">
        <f t="shared" si="37"/>
        <v>4.8</v>
      </c>
      <c r="S163" s="3">
        <f t="shared" si="37"/>
        <v>4.8</v>
      </c>
      <c r="T163" s="3">
        <f t="shared" si="37"/>
        <v>4.8</v>
      </c>
      <c r="U163" s="3">
        <f t="shared" si="37"/>
        <v>4.8</v>
      </c>
      <c r="V163" s="3">
        <f t="shared" si="37"/>
        <v>4.8</v>
      </c>
      <c r="W163" s="3">
        <f t="shared" si="37"/>
        <v>4.8</v>
      </c>
      <c r="X163" s="3">
        <f t="shared" si="37"/>
        <v>4.8</v>
      </c>
      <c r="Y163" s="3">
        <f t="shared" si="37"/>
        <v>4.8</v>
      </c>
      <c r="Z163" s="3">
        <f t="shared" si="37"/>
        <v>4.8</v>
      </c>
      <c r="AA163" s="3">
        <f t="shared" si="37"/>
        <v>4.8</v>
      </c>
      <c r="AB163" s="3">
        <f t="shared" si="37"/>
        <v>4.8</v>
      </c>
      <c r="AC163" s="3">
        <f t="shared" si="37"/>
        <v>4.8</v>
      </c>
      <c r="AD163" s="3">
        <f t="shared" si="37"/>
        <v>4.8</v>
      </c>
    </row>
    <row r="164" spans="3:30">
      <c r="C164" s="109" t="str">
        <f t="shared" si="34"/>
        <v>--</v>
      </c>
      <c r="D164" s="14"/>
      <c r="E164" s="123"/>
      <c r="F164" s="124" t="str">
        <f t="shared" si="35"/>
        <v xml:space="preserve"> </v>
      </c>
      <c r="G164" s="14"/>
      <c r="H164" s="124"/>
      <c r="I164" s="125"/>
      <c r="J164" s="126"/>
      <c r="K164" s="3">
        <f t="shared" si="37"/>
        <v>0</v>
      </c>
      <c r="L164" s="3">
        <f t="shared" si="37"/>
        <v>0</v>
      </c>
      <c r="M164" s="3">
        <f t="shared" si="37"/>
        <v>0</v>
      </c>
      <c r="N164" s="3">
        <f t="shared" si="37"/>
        <v>0</v>
      </c>
      <c r="O164" s="3">
        <f t="shared" si="37"/>
        <v>0</v>
      </c>
      <c r="P164" s="3">
        <f t="shared" si="37"/>
        <v>0</v>
      </c>
      <c r="Q164" s="3">
        <f t="shared" si="37"/>
        <v>0</v>
      </c>
      <c r="R164" s="3">
        <f t="shared" si="37"/>
        <v>0</v>
      </c>
      <c r="S164" s="3" t="str">
        <f t="shared" si="37"/>
        <v xml:space="preserve"> </v>
      </c>
      <c r="T164" s="3" t="str">
        <f t="shared" si="37"/>
        <v xml:space="preserve"> </v>
      </c>
      <c r="U164" s="3" t="str">
        <f t="shared" si="37"/>
        <v xml:space="preserve"> </v>
      </c>
      <c r="V164" s="3" t="str">
        <f t="shared" si="37"/>
        <v xml:space="preserve"> </v>
      </c>
      <c r="W164" s="3" t="str">
        <f t="shared" si="37"/>
        <v xml:space="preserve"> </v>
      </c>
      <c r="X164" s="3" t="str">
        <f t="shared" si="37"/>
        <v xml:space="preserve"> </v>
      </c>
      <c r="Y164" s="3" t="str">
        <f t="shared" si="37"/>
        <v xml:space="preserve"> </v>
      </c>
      <c r="Z164" s="3" t="str">
        <f t="shared" si="37"/>
        <v xml:space="preserve"> </v>
      </c>
      <c r="AA164" s="3" t="str">
        <f t="shared" si="37"/>
        <v xml:space="preserve"> </v>
      </c>
      <c r="AB164" s="3" t="str">
        <f t="shared" si="37"/>
        <v xml:space="preserve"> </v>
      </c>
      <c r="AC164" s="3" t="str">
        <f t="shared" si="37"/>
        <v xml:space="preserve"> </v>
      </c>
      <c r="AD164" s="3" t="str">
        <f t="shared" si="37"/>
        <v xml:space="preserve"> </v>
      </c>
    </row>
    <row r="165" spans="3:30">
      <c r="C165" s="109" t="str">
        <f t="shared" si="34"/>
        <v>--</v>
      </c>
      <c r="D165" s="14"/>
      <c r="E165" s="123"/>
      <c r="F165" s="124" t="str">
        <f t="shared" si="35"/>
        <v xml:space="preserve"> </v>
      </c>
      <c r="G165" s="14"/>
      <c r="H165" s="124"/>
      <c r="I165" s="125"/>
      <c r="J165" s="126"/>
      <c r="K165" s="3">
        <f t="shared" si="37"/>
        <v>0</v>
      </c>
      <c r="L165" s="3">
        <f t="shared" si="37"/>
        <v>0</v>
      </c>
      <c r="M165" s="3">
        <f t="shared" si="37"/>
        <v>0</v>
      </c>
      <c r="N165" s="3">
        <f t="shared" si="37"/>
        <v>0</v>
      </c>
      <c r="O165" s="3">
        <f t="shared" si="37"/>
        <v>0</v>
      </c>
      <c r="P165" s="3">
        <f t="shared" si="37"/>
        <v>0</v>
      </c>
      <c r="Q165" s="3">
        <f t="shared" si="37"/>
        <v>0</v>
      </c>
      <c r="R165" s="3">
        <f t="shared" si="37"/>
        <v>0</v>
      </c>
      <c r="S165" s="3">
        <f t="shared" si="37"/>
        <v>0</v>
      </c>
      <c r="T165" s="3">
        <f t="shared" si="37"/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3">
        <f t="shared" si="37"/>
        <v>0</v>
      </c>
      <c r="Y165" s="3">
        <f t="shared" si="37"/>
        <v>0</v>
      </c>
      <c r="Z165" s="3">
        <f t="shared" si="37"/>
        <v>0</v>
      </c>
      <c r="AA165" s="3">
        <f t="shared" si="37"/>
        <v>0</v>
      </c>
      <c r="AB165" s="3">
        <f t="shared" si="37"/>
        <v>0</v>
      </c>
      <c r="AC165" s="3">
        <f t="shared" si="37"/>
        <v>0</v>
      </c>
      <c r="AD165" s="3">
        <f t="shared" si="37"/>
        <v>0</v>
      </c>
    </row>
    <row r="166" spans="3:30">
      <c r="C166" s="109" t="str">
        <f t="shared" si="34"/>
        <v>--</v>
      </c>
      <c r="D166" s="14"/>
      <c r="E166" s="123"/>
      <c r="F166" s="124" t="str">
        <f t="shared" si="35"/>
        <v xml:space="preserve"> </v>
      </c>
      <c r="G166" s="14"/>
      <c r="H166" s="124"/>
      <c r="I166" s="125"/>
      <c r="J166" s="126"/>
      <c r="K166" s="3">
        <f t="shared" si="37"/>
        <v>0</v>
      </c>
      <c r="L166" s="3">
        <f t="shared" si="37"/>
        <v>0</v>
      </c>
      <c r="M166" s="3">
        <f t="shared" si="37"/>
        <v>0</v>
      </c>
      <c r="N166" s="3">
        <f t="shared" si="37"/>
        <v>0</v>
      </c>
      <c r="O166" s="3">
        <f t="shared" si="37"/>
        <v>0</v>
      </c>
      <c r="P166" s="3">
        <f t="shared" si="37"/>
        <v>0</v>
      </c>
      <c r="Q166" s="3">
        <f t="shared" si="37"/>
        <v>0</v>
      </c>
      <c r="R166" s="3">
        <f t="shared" si="37"/>
        <v>0</v>
      </c>
      <c r="S166" s="3">
        <f t="shared" si="37"/>
        <v>0</v>
      </c>
      <c r="T166" s="3">
        <f t="shared" si="37"/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3">
        <f t="shared" si="37"/>
        <v>0</v>
      </c>
      <c r="Y166" s="3">
        <f t="shared" si="37"/>
        <v>0</v>
      </c>
      <c r="Z166" s="3">
        <f t="shared" si="37"/>
        <v>0</v>
      </c>
      <c r="AA166" s="3">
        <f t="shared" si="37"/>
        <v>0</v>
      </c>
      <c r="AB166" s="3">
        <f t="shared" si="37"/>
        <v>0</v>
      </c>
      <c r="AC166" s="3">
        <f t="shared" si="37"/>
        <v>0</v>
      </c>
      <c r="AD166" s="3">
        <f t="shared" si="37"/>
        <v>0</v>
      </c>
    </row>
    <row r="167" spans="3:30">
      <c r="C167" s="109" t="str">
        <f t="shared" si="34"/>
        <v>--</v>
      </c>
      <c r="D167" s="14"/>
      <c r="E167" s="123"/>
      <c r="F167" s="124" t="str">
        <f t="shared" si="35"/>
        <v xml:space="preserve"> </v>
      </c>
      <c r="G167" s="14"/>
      <c r="H167" s="124"/>
      <c r="I167" s="125"/>
      <c r="J167" s="126"/>
      <c r="K167" s="3">
        <f t="shared" si="37"/>
        <v>0</v>
      </c>
      <c r="L167" s="3">
        <f t="shared" si="37"/>
        <v>0</v>
      </c>
      <c r="M167" s="3">
        <f t="shared" si="37"/>
        <v>0</v>
      </c>
      <c r="N167" s="3">
        <f t="shared" si="37"/>
        <v>0</v>
      </c>
      <c r="O167" s="3">
        <f t="shared" si="37"/>
        <v>0</v>
      </c>
      <c r="P167" s="3">
        <f t="shared" si="37"/>
        <v>0</v>
      </c>
      <c r="Q167" s="3">
        <f t="shared" si="37"/>
        <v>0</v>
      </c>
      <c r="R167" s="3">
        <f t="shared" si="37"/>
        <v>0</v>
      </c>
      <c r="S167" s="3">
        <f t="shared" si="37"/>
        <v>0</v>
      </c>
      <c r="T167" s="3">
        <f t="shared" si="37"/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3">
        <f t="shared" si="37"/>
        <v>0</v>
      </c>
      <c r="Y167" s="3">
        <f t="shared" si="37"/>
        <v>0</v>
      </c>
      <c r="Z167" s="3">
        <f t="shared" si="37"/>
        <v>0</v>
      </c>
      <c r="AA167" s="3">
        <f t="shared" si="37"/>
        <v>0</v>
      </c>
      <c r="AB167" s="3">
        <f t="shared" si="37"/>
        <v>0</v>
      </c>
      <c r="AC167" s="3">
        <f t="shared" si="37"/>
        <v>0</v>
      </c>
      <c r="AD167" s="3">
        <f t="shared" si="37"/>
        <v>0</v>
      </c>
    </row>
    <row r="168" spans="3:30">
      <c r="C168" s="109" t="str">
        <f t="shared" si="34"/>
        <v>--</v>
      </c>
      <c r="D168" s="14"/>
      <c r="E168" s="123"/>
      <c r="F168" s="124" t="str">
        <f t="shared" si="35"/>
        <v xml:space="preserve"> </v>
      </c>
      <c r="G168" s="14"/>
      <c r="H168" s="124"/>
      <c r="I168" s="125"/>
      <c r="J168" s="126"/>
      <c r="K168" s="3">
        <f t="shared" si="37"/>
        <v>0</v>
      </c>
      <c r="L168" s="3">
        <f t="shared" si="37"/>
        <v>0</v>
      </c>
      <c r="M168" s="3">
        <f t="shared" si="37"/>
        <v>0</v>
      </c>
      <c r="N168" s="3">
        <f t="shared" si="37"/>
        <v>0</v>
      </c>
      <c r="O168" s="3">
        <f t="shared" si="37"/>
        <v>0</v>
      </c>
      <c r="P168" s="3">
        <f t="shared" si="37"/>
        <v>0</v>
      </c>
      <c r="Q168" s="3">
        <f t="shared" si="37"/>
        <v>0</v>
      </c>
      <c r="R168" s="3">
        <f t="shared" si="37"/>
        <v>0</v>
      </c>
      <c r="S168" s="3">
        <f t="shared" si="37"/>
        <v>0</v>
      </c>
      <c r="T168" s="3">
        <f t="shared" si="37"/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3">
        <f t="shared" si="37"/>
        <v>0</v>
      </c>
      <c r="Y168" s="3">
        <f t="shared" si="37"/>
        <v>0</v>
      </c>
      <c r="Z168" s="3">
        <f t="shared" si="37"/>
        <v>0</v>
      </c>
      <c r="AA168" s="3">
        <f t="shared" si="37"/>
        <v>0</v>
      </c>
      <c r="AB168" s="3">
        <f t="shared" si="37"/>
        <v>0</v>
      </c>
      <c r="AC168" s="3">
        <f t="shared" si="37"/>
        <v>0</v>
      </c>
      <c r="AD168" s="3">
        <f t="shared" si="37"/>
        <v>0</v>
      </c>
    </row>
    <row r="169" spans="3:30">
      <c r="C169" s="109" t="str">
        <f t="shared" si="34"/>
        <v>--</v>
      </c>
      <c r="D169" s="14"/>
      <c r="E169" s="123"/>
      <c r="F169" s="124" t="str">
        <f t="shared" si="35"/>
        <v xml:space="preserve"> </v>
      </c>
      <c r="G169" s="14"/>
      <c r="H169" s="124"/>
      <c r="I169" s="125"/>
      <c r="J169" s="126"/>
      <c r="K169" s="3">
        <f t="shared" si="37"/>
        <v>0</v>
      </c>
      <c r="L169" s="3">
        <f t="shared" si="37"/>
        <v>0</v>
      </c>
      <c r="M169" s="3">
        <f t="shared" si="37"/>
        <v>0</v>
      </c>
      <c r="N169" s="3">
        <f t="shared" si="37"/>
        <v>0</v>
      </c>
      <c r="O169" s="3">
        <f t="shared" si="37"/>
        <v>0</v>
      </c>
      <c r="P169" s="3">
        <f t="shared" si="37"/>
        <v>0</v>
      </c>
      <c r="Q169" s="3">
        <f t="shared" si="37"/>
        <v>0</v>
      </c>
      <c r="R169" s="3">
        <f t="shared" si="37"/>
        <v>0</v>
      </c>
      <c r="S169" s="3">
        <f t="shared" si="37"/>
        <v>0</v>
      </c>
      <c r="T169" s="3">
        <f t="shared" si="37"/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3">
        <f t="shared" si="37"/>
        <v>0</v>
      </c>
      <c r="Y169" s="3">
        <f t="shared" si="37"/>
        <v>0</v>
      </c>
      <c r="Z169" s="3">
        <f t="shared" ref="Z169:AD169" si="38">IF(NOT(ISBLANK(Z64)),$J64,0)</f>
        <v>0</v>
      </c>
      <c r="AA169" s="3">
        <f t="shared" si="38"/>
        <v>0</v>
      </c>
      <c r="AB169" s="3">
        <f t="shared" si="38"/>
        <v>0</v>
      </c>
      <c r="AC169" s="3">
        <f t="shared" si="38"/>
        <v>0</v>
      </c>
      <c r="AD169" s="3">
        <f t="shared" si="38"/>
        <v>0</v>
      </c>
    </row>
    <row r="170" spans="3:30">
      <c r="C170" s="109" t="str">
        <f t="shared" si="34"/>
        <v>--</v>
      </c>
      <c r="D170" s="14"/>
      <c r="E170" s="123"/>
      <c r="F170" s="124" t="str">
        <f t="shared" si="35"/>
        <v xml:space="preserve"> </v>
      </c>
      <c r="G170" s="14"/>
      <c r="H170" s="124"/>
      <c r="I170" s="125"/>
      <c r="J170" s="126"/>
      <c r="K170" s="3">
        <f t="shared" ref="K170:AD176" si="39">IF(NOT(ISBLANK(K65)),$J65,0)</f>
        <v>0</v>
      </c>
      <c r="L170" s="3">
        <f t="shared" si="39"/>
        <v>0</v>
      </c>
      <c r="M170" s="3">
        <f t="shared" si="39"/>
        <v>0</v>
      </c>
      <c r="N170" s="3">
        <f t="shared" si="39"/>
        <v>0</v>
      </c>
      <c r="O170" s="3">
        <f t="shared" si="39"/>
        <v>0</v>
      </c>
      <c r="P170" s="3">
        <f t="shared" si="39"/>
        <v>0</v>
      </c>
      <c r="Q170" s="3">
        <f t="shared" si="39"/>
        <v>0</v>
      </c>
      <c r="R170" s="3">
        <f t="shared" si="39"/>
        <v>0</v>
      </c>
      <c r="S170" s="3">
        <f t="shared" si="39"/>
        <v>0</v>
      </c>
      <c r="T170" s="3">
        <f t="shared" si="39"/>
        <v>0</v>
      </c>
      <c r="U170" s="3">
        <f t="shared" si="39"/>
        <v>0</v>
      </c>
      <c r="V170" s="3">
        <f t="shared" si="39"/>
        <v>0</v>
      </c>
      <c r="W170" s="3">
        <f t="shared" si="39"/>
        <v>0</v>
      </c>
      <c r="X170" s="3">
        <f t="shared" si="39"/>
        <v>0</v>
      </c>
      <c r="Y170" s="3">
        <f t="shared" si="39"/>
        <v>0</v>
      </c>
      <c r="Z170" s="3">
        <f t="shared" si="39"/>
        <v>0</v>
      </c>
      <c r="AA170" s="3">
        <f t="shared" si="39"/>
        <v>0</v>
      </c>
      <c r="AB170" s="3">
        <f t="shared" si="39"/>
        <v>0</v>
      </c>
      <c r="AC170" s="3">
        <f t="shared" si="39"/>
        <v>0</v>
      </c>
      <c r="AD170" s="3">
        <f t="shared" si="39"/>
        <v>0</v>
      </c>
    </row>
    <row r="171" spans="3:30">
      <c r="C171" s="109" t="str">
        <f t="shared" si="34"/>
        <v>--</v>
      </c>
      <c r="D171" s="14"/>
      <c r="E171" s="123"/>
      <c r="F171" s="124" t="str">
        <f t="shared" si="35"/>
        <v xml:space="preserve"> </v>
      </c>
      <c r="G171" s="14"/>
      <c r="H171" s="124"/>
      <c r="I171" s="125"/>
      <c r="J171" s="126"/>
      <c r="K171" s="3">
        <f t="shared" si="39"/>
        <v>0</v>
      </c>
      <c r="L171" s="3">
        <f t="shared" si="39"/>
        <v>0</v>
      </c>
      <c r="M171" s="3">
        <f t="shared" si="39"/>
        <v>0</v>
      </c>
      <c r="N171" s="3">
        <f t="shared" si="39"/>
        <v>0</v>
      </c>
      <c r="O171" s="3">
        <f t="shared" si="39"/>
        <v>0</v>
      </c>
      <c r="P171" s="3">
        <f t="shared" si="39"/>
        <v>0</v>
      </c>
      <c r="Q171" s="3">
        <f t="shared" si="39"/>
        <v>0</v>
      </c>
      <c r="R171" s="3">
        <f t="shared" si="39"/>
        <v>0</v>
      </c>
      <c r="S171" s="3">
        <f t="shared" si="39"/>
        <v>0</v>
      </c>
      <c r="T171" s="3">
        <f t="shared" si="39"/>
        <v>0</v>
      </c>
      <c r="U171" s="3">
        <f t="shared" si="39"/>
        <v>0</v>
      </c>
      <c r="V171" s="3">
        <f t="shared" si="39"/>
        <v>0</v>
      </c>
      <c r="W171" s="3">
        <f t="shared" si="39"/>
        <v>0</v>
      </c>
      <c r="X171" s="3">
        <f t="shared" si="39"/>
        <v>0</v>
      </c>
      <c r="Y171" s="3">
        <f t="shared" si="39"/>
        <v>0</v>
      </c>
      <c r="Z171" s="3">
        <f t="shared" si="39"/>
        <v>0</v>
      </c>
      <c r="AA171" s="3">
        <f t="shared" si="39"/>
        <v>0</v>
      </c>
      <c r="AB171" s="3">
        <f t="shared" si="39"/>
        <v>0</v>
      </c>
      <c r="AC171" s="3">
        <f t="shared" si="39"/>
        <v>0</v>
      </c>
      <c r="AD171" s="3">
        <f t="shared" si="39"/>
        <v>0</v>
      </c>
    </row>
    <row r="172" spans="3:30">
      <c r="C172" s="109" t="str">
        <f t="shared" si="34"/>
        <v>--</v>
      </c>
      <c r="D172" s="14"/>
      <c r="E172" s="123"/>
      <c r="F172" s="124" t="str">
        <f t="shared" si="35"/>
        <v xml:space="preserve"> </v>
      </c>
      <c r="G172" s="14"/>
      <c r="H172" s="124"/>
      <c r="I172" s="125"/>
      <c r="J172" s="126"/>
      <c r="K172" s="3">
        <f t="shared" si="39"/>
        <v>0</v>
      </c>
      <c r="L172" s="3">
        <f t="shared" si="39"/>
        <v>0</v>
      </c>
      <c r="M172" s="3">
        <f t="shared" si="39"/>
        <v>0</v>
      </c>
      <c r="N172" s="3">
        <f t="shared" si="39"/>
        <v>0</v>
      </c>
      <c r="O172" s="3">
        <f t="shared" si="39"/>
        <v>0</v>
      </c>
      <c r="P172" s="3">
        <f t="shared" si="39"/>
        <v>0</v>
      </c>
      <c r="Q172" s="3">
        <f t="shared" si="39"/>
        <v>0</v>
      </c>
      <c r="R172" s="3">
        <f t="shared" si="39"/>
        <v>0</v>
      </c>
      <c r="S172" s="3">
        <f t="shared" si="39"/>
        <v>0</v>
      </c>
      <c r="T172" s="3">
        <f t="shared" si="39"/>
        <v>0</v>
      </c>
      <c r="U172" s="3">
        <f t="shared" si="39"/>
        <v>0</v>
      </c>
      <c r="V172" s="3">
        <f t="shared" si="39"/>
        <v>0</v>
      </c>
      <c r="W172" s="3">
        <f t="shared" si="39"/>
        <v>0</v>
      </c>
      <c r="X172" s="3">
        <f t="shared" si="39"/>
        <v>0</v>
      </c>
      <c r="Y172" s="3">
        <f t="shared" si="39"/>
        <v>0</v>
      </c>
      <c r="Z172" s="3">
        <f t="shared" si="39"/>
        <v>0</v>
      </c>
      <c r="AA172" s="3">
        <f t="shared" si="39"/>
        <v>0</v>
      </c>
      <c r="AB172" s="3">
        <f t="shared" si="39"/>
        <v>0</v>
      </c>
      <c r="AC172" s="3">
        <f t="shared" si="39"/>
        <v>0</v>
      </c>
      <c r="AD172" s="3">
        <f t="shared" si="39"/>
        <v>0</v>
      </c>
    </row>
    <row r="173" spans="3:30">
      <c r="C173" s="109" t="str">
        <f t="shared" si="34"/>
        <v>--</v>
      </c>
      <c r="D173" s="14"/>
      <c r="E173" s="123"/>
      <c r="F173" s="124" t="str">
        <f t="shared" si="35"/>
        <v xml:space="preserve"> </v>
      </c>
      <c r="G173" s="14"/>
      <c r="H173" s="124"/>
      <c r="I173" s="125"/>
      <c r="J173" s="126"/>
      <c r="K173" s="3">
        <f t="shared" si="39"/>
        <v>0</v>
      </c>
      <c r="L173" s="3">
        <f t="shared" si="39"/>
        <v>0</v>
      </c>
      <c r="M173" s="3">
        <f t="shared" si="39"/>
        <v>0</v>
      </c>
      <c r="N173" s="3">
        <f t="shared" si="39"/>
        <v>0</v>
      </c>
      <c r="O173" s="3">
        <f t="shared" si="39"/>
        <v>0</v>
      </c>
      <c r="P173" s="3">
        <f t="shared" si="39"/>
        <v>0</v>
      </c>
      <c r="Q173" s="3">
        <f t="shared" si="39"/>
        <v>0</v>
      </c>
      <c r="R173" s="3">
        <f t="shared" si="39"/>
        <v>0</v>
      </c>
      <c r="S173" s="3">
        <f t="shared" si="39"/>
        <v>0</v>
      </c>
      <c r="T173" s="3">
        <f t="shared" si="39"/>
        <v>0</v>
      </c>
      <c r="U173" s="3">
        <f t="shared" si="39"/>
        <v>0</v>
      </c>
      <c r="V173" s="3">
        <f t="shared" si="39"/>
        <v>0</v>
      </c>
      <c r="W173" s="3">
        <f t="shared" si="39"/>
        <v>0</v>
      </c>
      <c r="X173" s="3">
        <f t="shared" si="39"/>
        <v>0</v>
      </c>
      <c r="Y173" s="3">
        <f t="shared" si="39"/>
        <v>0</v>
      </c>
      <c r="Z173" s="3">
        <f t="shared" si="39"/>
        <v>0</v>
      </c>
      <c r="AA173" s="3">
        <f t="shared" si="39"/>
        <v>0</v>
      </c>
      <c r="AB173" s="3">
        <f t="shared" si="39"/>
        <v>0</v>
      </c>
      <c r="AC173" s="3">
        <f t="shared" si="39"/>
        <v>0</v>
      </c>
      <c r="AD173" s="3">
        <f t="shared" si="39"/>
        <v>0</v>
      </c>
    </row>
    <row r="174" spans="3:30">
      <c r="C174" s="109" t="str">
        <f t="shared" si="34"/>
        <v>--</v>
      </c>
      <c r="D174" s="14"/>
      <c r="E174" s="123"/>
      <c r="F174" s="124" t="str">
        <f t="shared" si="35"/>
        <v xml:space="preserve"> </v>
      </c>
      <c r="G174" s="14"/>
      <c r="H174" s="124"/>
      <c r="I174" s="125"/>
      <c r="J174" s="126"/>
      <c r="K174" s="3">
        <f t="shared" si="39"/>
        <v>0</v>
      </c>
      <c r="L174" s="3">
        <f t="shared" si="39"/>
        <v>0</v>
      </c>
      <c r="M174" s="3">
        <f t="shared" si="39"/>
        <v>0</v>
      </c>
      <c r="N174" s="3">
        <f t="shared" si="39"/>
        <v>0</v>
      </c>
      <c r="O174" s="3">
        <f t="shared" si="39"/>
        <v>0</v>
      </c>
      <c r="P174" s="3">
        <f t="shared" si="39"/>
        <v>0</v>
      </c>
      <c r="Q174" s="3">
        <f t="shared" si="39"/>
        <v>0</v>
      </c>
      <c r="R174" s="3">
        <f t="shared" si="39"/>
        <v>0</v>
      </c>
      <c r="S174" s="3">
        <f t="shared" si="39"/>
        <v>0</v>
      </c>
      <c r="T174" s="3">
        <f t="shared" si="39"/>
        <v>0</v>
      </c>
      <c r="U174" s="3">
        <f t="shared" si="39"/>
        <v>0</v>
      </c>
      <c r="V174" s="3">
        <f t="shared" si="39"/>
        <v>0</v>
      </c>
      <c r="W174" s="3">
        <f t="shared" si="39"/>
        <v>0</v>
      </c>
      <c r="X174" s="3">
        <f t="shared" si="39"/>
        <v>0</v>
      </c>
      <c r="Y174" s="3">
        <f t="shared" si="39"/>
        <v>0</v>
      </c>
      <c r="Z174" s="3">
        <f t="shared" si="39"/>
        <v>0</v>
      </c>
      <c r="AA174" s="3">
        <f t="shared" si="39"/>
        <v>0</v>
      </c>
      <c r="AB174" s="3">
        <f t="shared" si="39"/>
        <v>0</v>
      </c>
      <c r="AC174" s="3">
        <f t="shared" si="39"/>
        <v>0</v>
      </c>
      <c r="AD174" s="3">
        <f t="shared" si="39"/>
        <v>0</v>
      </c>
    </row>
    <row r="175" spans="3:30">
      <c r="C175" s="109" t="str">
        <f t="shared" si="34"/>
        <v>--</v>
      </c>
      <c r="D175" s="14"/>
      <c r="E175" s="123"/>
      <c r="F175" s="124" t="str">
        <f t="shared" si="35"/>
        <v xml:space="preserve"> </v>
      </c>
      <c r="G175" s="14"/>
      <c r="H175" s="124"/>
      <c r="I175" s="125"/>
      <c r="J175" s="126"/>
      <c r="K175" s="3">
        <f t="shared" si="39"/>
        <v>0</v>
      </c>
      <c r="L175" s="3">
        <f t="shared" si="39"/>
        <v>0</v>
      </c>
      <c r="M175" s="3">
        <f t="shared" si="39"/>
        <v>0</v>
      </c>
      <c r="N175" s="3">
        <f t="shared" si="39"/>
        <v>0</v>
      </c>
      <c r="O175" s="3">
        <f t="shared" si="39"/>
        <v>0</v>
      </c>
      <c r="P175" s="3">
        <f t="shared" si="39"/>
        <v>0</v>
      </c>
      <c r="Q175" s="3">
        <f t="shared" si="39"/>
        <v>0</v>
      </c>
      <c r="R175" s="3">
        <f t="shared" si="39"/>
        <v>0</v>
      </c>
      <c r="S175" s="3">
        <f t="shared" si="39"/>
        <v>0</v>
      </c>
      <c r="T175" s="3">
        <f t="shared" si="39"/>
        <v>0</v>
      </c>
      <c r="U175" s="3">
        <f t="shared" si="39"/>
        <v>0</v>
      </c>
      <c r="V175" s="3">
        <f t="shared" si="39"/>
        <v>0</v>
      </c>
      <c r="W175" s="3">
        <f t="shared" si="39"/>
        <v>0</v>
      </c>
      <c r="X175" s="3">
        <f t="shared" si="39"/>
        <v>0</v>
      </c>
      <c r="Y175" s="3">
        <f t="shared" si="39"/>
        <v>0</v>
      </c>
      <c r="Z175" s="3">
        <f t="shared" si="39"/>
        <v>0</v>
      </c>
      <c r="AA175" s="3">
        <f t="shared" si="39"/>
        <v>0</v>
      </c>
      <c r="AB175" s="3">
        <f t="shared" si="39"/>
        <v>0</v>
      </c>
      <c r="AC175" s="3">
        <f t="shared" si="39"/>
        <v>0</v>
      </c>
      <c r="AD175" s="3">
        <f t="shared" si="39"/>
        <v>0</v>
      </c>
    </row>
    <row r="176" spans="3:30">
      <c r="C176" s="109" t="str">
        <f t="shared" si="34"/>
        <v>--</v>
      </c>
      <c r="D176" s="14"/>
      <c r="E176" s="123"/>
      <c r="F176" s="124" t="str">
        <f t="shared" si="35"/>
        <v xml:space="preserve"> </v>
      </c>
      <c r="G176" s="14"/>
      <c r="H176" s="124"/>
      <c r="I176" s="125"/>
      <c r="J176" s="126"/>
      <c r="K176" s="3">
        <f t="shared" si="39"/>
        <v>0</v>
      </c>
      <c r="L176" s="3">
        <f t="shared" si="39"/>
        <v>0</v>
      </c>
      <c r="M176" s="3">
        <f t="shared" si="39"/>
        <v>0</v>
      </c>
      <c r="N176" s="3">
        <f t="shared" si="39"/>
        <v>0</v>
      </c>
      <c r="O176" s="3">
        <f t="shared" si="39"/>
        <v>0</v>
      </c>
      <c r="P176" s="3">
        <f t="shared" si="39"/>
        <v>0</v>
      </c>
      <c r="Q176" s="3">
        <f t="shared" si="39"/>
        <v>0</v>
      </c>
      <c r="R176" s="3">
        <f t="shared" si="39"/>
        <v>0</v>
      </c>
      <c r="S176" s="3">
        <f t="shared" si="39"/>
        <v>0</v>
      </c>
      <c r="T176" s="3">
        <f t="shared" si="39"/>
        <v>0</v>
      </c>
      <c r="U176" s="3">
        <f t="shared" si="39"/>
        <v>0</v>
      </c>
      <c r="V176" s="3">
        <f t="shared" si="39"/>
        <v>0</v>
      </c>
      <c r="W176" s="3">
        <f t="shared" si="39"/>
        <v>0</v>
      </c>
      <c r="X176" s="3">
        <f t="shared" si="39"/>
        <v>0</v>
      </c>
      <c r="Y176" s="3">
        <f t="shared" si="39"/>
        <v>0</v>
      </c>
      <c r="Z176" s="3">
        <f t="shared" si="39"/>
        <v>0</v>
      </c>
      <c r="AA176" s="3">
        <f t="shared" si="39"/>
        <v>0</v>
      </c>
      <c r="AB176" s="3">
        <f t="shared" si="39"/>
        <v>0</v>
      </c>
      <c r="AC176" s="3">
        <f t="shared" si="39"/>
        <v>0</v>
      </c>
      <c r="AD176" s="3">
        <f t="shared" si="39"/>
        <v>0</v>
      </c>
    </row>
  </sheetData>
  <mergeCells count="14">
    <mergeCell ref="C101:J102"/>
    <mergeCell ref="AA50:AD50"/>
    <mergeCell ref="C49:D49"/>
    <mergeCell ref="F49:J49"/>
    <mergeCell ref="K50:N50"/>
    <mergeCell ref="O50:R50"/>
    <mergeCell ref="S50:V50"/>
    <mergeCell ref="W50:Z50"/>
    <mergeCell ref="AU1:AV1"/>
    <mergeCell ref="AU2:AV2"/>
    <mergeCell ref="I42:I43"/>
    <mergeCell ref="I44:I45"/>
    <mergeCell ref="C47:I48"/>
    <mergeCell ref="J47:J48"/>
  </mergeCells>
  <pageMargins left="0.7" right="0.7" top="0.75" bottom="0.75" header="0.3" footer="0.3"/>
  <pageSetup orientation="portrait" r:id="rId1"/>
  <rowBreaks count="1" manualBreakCount="1">
    <brk id="42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CD94E4-DC3C-4552-A927-18176AD8AB63}">
          <x14:formula1>
            <xm:f>'Power Blocks'!$C$20:$C$31</xm:f>
          </x14:formula1>
          <xm:sqref>C51:C74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4310-E9EA-43E0-8259-B1E8E31A78E6}">
  <dimension ref="C1:AB81"/>
  <sheetViews>
    <sheetView topLeftCell="A16" zoomScale="112" zoomScaleNormal="112" workbookViewId="0">
      <selection activeCell="A22" sqref="A22"/>
    </sheetView>
  </sheetViews>
  <sheetFormatPr defaultColWidth="8.85546875" defaultRowHeight="15"/>
  <cols>
    <col min="3" max="3" width="9.140625" style="18"/>
    <col min="14" max="14" width="9.140625" style="18"/>
    <col min="16" max="16" width="9.140625" style="18"/>
  </cols>
  <sheetData>
    <row r="1" spans="3:28">
      <c r="J1" t="s">
        <v>77</v>
      </c>
    </row>
    <row r="3" spans="3:28">
      <c r="C3" s="18" t="s">
        <v>78</v>
      </c>
      <c r="D3" s="236" t="s">
        <v>79</v>
      </c>
      <c r="E3" s="236"/>
      <c r="F3" s="236"/>
      <c r="G3" s="236"/>
      <c r="H3" s="236"/>
      <c r="I3" s="235" t="s">
        <v>80</v>
      </c>
      <c r="J3" s="235"/>
      <c r="K3" s="235"/>
      <c r="L3" s="235"/>
      <c r="M3" s="235"/>
      <c r="N3" s="237" t="s">
        <v>81</v>
      </c>
      <c r="O3" s="237"/>
      <c r="P3" s="237"/>
      <c r="Q3" s="237"/>
      <c r="R3" s="237"/>
      <c r="S3" s="237"/>
      <c r="T3" s="235" t="s">
        <v>82</v>
      </c>
      <c r="U3" s="235"/>
      <c r="V3" s="235"/>
      <c r="W3" s="235"/>
      <c r="X3" s="235"/>
      <c r="Y3" s="2"/>
      <c r="Z3" s="2"/>
      <c r="AA3" s="2"/>
      <c r="AB3" s="2"/>
    </row>
    <row r="4" spans="3:28">
      <c r="C4" s="19">
        <v>0.25</v>
      </c>
      <c r="D4" s="5" t="s">
        <v>83</v>
      </c>
      <c r="E4" s="5" t="s">
        <v>84</v>
      </c>
      <c r="F4" s="5" t="s">
        <v>9</v>
      </c>
      <c r="G4" s="5" t="s">
        <v>85</v>
      </c>
      <c r="H4" s="5" t="s">
        <v>7</v>
      </c>
      <c r="I4" s="5" t="s">
        <v>83</v>
      </c>
      <c r="J4" s="5" t="s">
        <v>84</v>
      </c>
      <c r="K4" s="5" t="s">
        <v>9</v>
      </c>
      <c r="L4" s="5" t="s">
        <v>85</v>
      </c>
      <c r="M4" s="5" t="s">
        <v>7</v>
      </c>
      <c r="N4" s="178" t="s">
        <v>83</v>
      </c>
      <c r="O4" s="177" t="s">
        <v>84</v>
      </c>
      <c r="P4" s="178" t="s">
        <v>9</v>
      </c>
      <c r="Q4" s="177" t="s">
        <v>85</v>
      </c>
      <c r="R4" s="177" t="s">
        <v>86</v>
      </c>
      <c r="S4" s="177" t="s">
        <v>7</v>
      </c>
      <c r="T4" s="5" t="s">
        <v>83</v>
      </c>
      <c r="U4" s="5" t="s">
        <v>84</v>
      </c>
      <c r="V4" s="5" t="s">
        <v>9</v>
      </c>
      <c r="W4" s="5" t="s">
        <v>85</v>
      </c>
      <c r="X4" s="5" t="s">
        <v>7</v>
      </c>
      <c r="Y4" s="2"/>
      <c r="Z4" s="2"/>
      <c r="AA4" s="2"/>
      <c r="AB4" s="2"/>
    </row>
    <row r="5" spans="3:28">
      <c r="C5" s="15">
        <v>2024</v>
      </c>
      <c r="D5" s="3">
        <f>N5-I5</f>
        <v>0.44999999999999996</v>
      </c>
      <c r="E5" s="3">
        <f t="shared" ref="E5:E29" si="0">O5-J5</f>
        <v>0.125</v>
      </c>
      <c r="F5" s="3">
        <f t="shared" ref="F5:F29" si="1">P5-K5</f>
        <v>0.37</v>
      </c>
      <c r="G5" s="3">
        <f t="shared" ref="G5:G29" si="2">Q5-L5</f>
        <v>0</v>
      </c>
      <c r="H5" s="3">
        <f>SUM(D5:G5)</f>
        <v>0.94499999999999995</v>
      </c>
      <c r="I5" s="3">
        <v>0.75</v>
      </c>
      <c r="J5" s="3">
        <v>0.32500000000000001</v>
      </c>
      <c r="K5" s="3">
        <v>0.68</v>
      </c>
      <c r="L5" s="3">
        <v>0</v>
      </c>
      <c r="M5" s="3"/>
      <c r="N5" s="179">
        <v>1.2</v>
      </c>
      <c r="O5" s="180">
        <v>0.45</v>
      </c>
      <c r="P5" s="179">
        <v>1.05</v>
      </c>
      <c r="Q5" s="179">
        <v>0</v>
      </c>
      <c r="R5" s="179">
        <f>N5+Q5</f>
        <v>1.2</v>
      </c>
      <c r="S5" s="179">
        <f>SUM(N5:Q5)</f>
        <v>2.7</v>
      </c>
      <c r="T5" s="3">
        <v>0.3</v>
      </c>
      <c r="U5" s="3">
        <v>0.1</v>
      </c>
      <c r="V5" s="3">
        <v>0.4</v>
      </c>
      <c r="W5" s="3"/>
      <c r="X5" s="3"/>
    </row>
    <row r="6" spans="3:28">
      <c r="C6" s="15">
        <f>C5+$C$4</f>
        <v>2024.25</v>
      </c>
      <c r="D6" s="3">
        <f t="shared" ref="D6:D29" si="3">N6-I6</f>
        <v>0.44999999999999996</v>
      </c>
      <c r="E6" s="3">
        <f t="shared" si="0"/>
        <v>0.125</v>
      </c>
      <c r="F6" s="3">
        <f t="shared" si="1"/>
        <v>0.37</v>
      </c>
      <c r="G6" s="3">
        <f t="shared" si="2"/>
        <v>0</v>
      </c>
      <c r="H6" s="3">
        <f t="shared" ref="H6:H29" si="4">SUM(D6:G6)</f>
        <v>0.94499999999999995</v>
      </c>
      <c r="I6" s="3">
        <v>0.75</v>
      </c>
      <c r="J6" s="3">
        <v>0.32500000000000001</v>
      </c>
      <c r="K6" s="3">
        <v>0.68</v>
      </c>
      <c r="L6" s="3">
        <v>0</v>
      </c>
      <c r="M6" s="3"/>
      <c r="N6" s="179">
        <v>1.2</v>
      </c>
      <c r="O6" s="180">
        <v>0.45</v>
      </c>
      <c r="P6" s="179">
        <v>1.05</v>
      </c>
      <c r="Q6" s="179">
        <v>0</v>
      </c>
      <c r="R6" s="179">
        <f t="shared" ref="R6:R29" si="5">N6+Q6</f>
        <v>1.2</v>
      </c>
      <c r="S6" s="179">
        <f t="shared" ref="S6:S29" si="6">SUM(N6:Q6)</f>
        <v>2.7</v>
      </c>
      <c r="T6" s="3">
        <v>0.3</v>
      </c>
      <c r="U6" s="3">
        <v>0.1</v>
      </c>
      <c r="V6" s="3">
        <v>0.4</v>
      </c>
      <c r="W6" s="3"/>
      <c r="X6" s="3"/>
    </row>
    <row r="7" spans="3:28">
      <c r="C7" s="15">
        <f t="shared" ref="C7:C29" si="7">C6+$C$4</f>
        <v>2024.5</v>
      </c>
      <c r="D7" s="3">
        <f t="shared" si="3"/>
        <v>9.9999999999999867E-2</v>
      </c>
      <c r="E7" s="3">
        <f t="shared" si="0"/>
        <v>0.125</v>
      </c>
      <c r="F7" s="3">
        <f t="shared" si="1"/>
        <v>0.37</v>
      </c>
      <c r="G7" s="3">
        <f t="shared" si="2"/>
        <v>0</v>
      </c>
      <c r="H7" s="3">
        <f t="shared" si="4"/>
        <v>0.59499999999999986</v>
      </c>
      <c r="I7" s="3">
        <v>1.1000000000000001</v>
      </c>
      <c r="J7" s="3">
        <v>0.32500000000000001</v>
      </c>
      <c r="K7" s="3">
        <v>0.68</v>
      </c>
      <c r="L7" s="3">
        <v>0</v>
      </c>
      <c r="M7" s="3"/>
      <c r="N7" s="179">
        <v>1.2</v>
      </c>
      <c r="O7" s="180">
        <v>0.45</v>
      </c>
      <c r="P7" s="179">
        <v>1.05</v>
      </c>
      <c r="Q7" s="179">
        <v>0</v>
      </c>
      <c r="R7" s="179">
        <f t="shared" si="5"/>
        <v>1.2</v>
      </c>
      <c r="S7" s="179">
        <f t="shared" si="6"/>
        <v>2.7</v>
      </c>
      <c r="T7" s="3">
        <v>0.3</v>
      </c>
      <c r="U7" s="3">
        <v>0.1</v>
      </c>
      <c r="V7" s="3">
        <v>0.4</v>
      </c>
      <c r="W7" s="3"/>
      <c r="X7" s="3"/>
    </row>
    <row r="8" spans="3:28">
      <c r="C8" s="15">
        <f t="shared" si="7"/>
        <v>2024.75</v>
      </c>
      <c r="D8" s="3">
        <f t="shared" si="3"/>
        <v>9.9999999999999867E-2</v>
      </c>
      <c r="E8" s="3">
        <f t="shared" si="0"/>
        <v>0.125</v>
      </c>
      <c r="F8" s="3">
        <f t="shared" si="1"/>
        <v>0.47000000000000008</v>
      </c>
      <c r="G8" s="3">
        <f t="shared" si="2"/>
        <v>0</v>
      </c>
      <c r="H8" s="3">
        <f t="shared" si="4"/>
        <v>0.69499999999999995</v>
      </c>
      <c r="I8" s="3">
        <v>1.1000000000000001</v>
      </c>
      <c r="J8" s="3">
        <v>0.32500000000000001</v>
      </c>
      <c r="K8" s="3">
        <v>0.57999999999999996</v>
      </c>
      <c r="L8" s="3">
        <v>0</v>
      </c>
      <c r="M8" s="3"/>
      <c r="N8" s="179">
        <v>1.2</v>
      </c>
      <c r="O8" s="180">
        <v>0.45</v>
      </c>
      <c r="P8" s="179">
        <v>1.05</v>
      </c>
      <c r="Q8" s="179">
        <v>0</v>
      </c>
      <c r="R8" s="179">
        <f t="shared" si="5"/>
        <v>1.2</v>
      </c>
      <c r="S8" s="179">
        <f t="shared" si="6"/>
        <v>2.7</v>
      </c>
      <c r="T8" s="3">
        <v>0.3</v>
      </c>
      <c r="U8" s="3">
        <v>0.1</v>
      </c>
      <c r="V8" s="3">
        <v>0.4</v>
      </c>
      <c r="W8" s="3"/>
      <c r="X8" s="3"/>
    </row>
    <row r="9" spans="3:28">
      <c r="C9" s="15">
        <f t="shared" si="7"/>
        <v>2025</v>
      </c>
      <c r="D9" s="3">
        <f t="shared" si="3"/>
        <v>0</v>
      </c>
      <c r="E9" s="3">
        <f t="shared" si="0"/>
        <v>0.10000000000000003</v>
      </c>
      <c r="F9" s="3">
        <f t="shared" si="1"/>
        <v>0.4</v>
      </c>
      <c r="G9" s="3">
        <f t="shared" si="2"/>
        <v>0</v>
      </c>
      <c r="H9" s="3">
        <f t="shared" si="4"/>
        <v>0.5</v>
      </c>
      <c r="I9" s="3">
        <v>1.2</v>
      </c>
      <c r="J9" s="3">
        <v>0.35</v>
      </c>
      <c r="K9" s="3">
        <v>0.65</v>
      </c>
      <c r="L9" s="3">
        <v>0</v>
      </c>
      <c r="M9" s="3"/>
      <c r="N9" s="179">
        <v>1.2</v>
      </c>
      <c r="O9" s="180">
        <v>0.45</v>
      </c>
      <c r="P9" s="179">
        <v>1.05</v>
      </c>
      <c r="Q9" s="179">
        <v>0</v>
      </c>
      <c r="R9" s="179">
        <f t="shared" si="5"/>
        <v>1.2</v>
      </c>
      <c r="S9" s="179">
        <f t="shared" si="6"/>
        <v>2.7</v>
      </c>
      <c r="T9" s="3">
        <v>0.3</v>
      </c>
      <c r="U9" s="3">
        <v>0.1</v>
      </c>
      <c r="V9" s="3">
        <v>0.4</v>
      </c>
      <c r="W9" s="3"/>
      <c r="X9" s="3"/>
    </row>
    <row r="10" spans="3:28">
      <c r="C10" s="15">
        <f t="shared" si="7"/>
        <v>2025.25</v>
      </c>
      <c r="D10" s="3">
        <f t="shared" si="3"/>
        <v>0</v>
      </c>
      <c r="E10" s="3">
        <f t="shared" si="0"/>
        <v>0.10000000000000003</v>
      </c>
      <c r="F10" s="3">
        <f t="shared" si="1"/>
        <v>0.4</v>
      </c>
      <c r="G10" s="3">
        <f t="shared" si="2"/>
        <v>0</v>
      </c>
      <c r="H10" s="3">
        <f t="shared" si="4"/>
        <v>0.5</v>
      </c>
      <c r="I10" s="3">
        <v>1.2</v>
      </c>
      <c r="J10" s="3">
        <v>0.35</v>
      </c>
      <c r="K10" s="3">
        <v>0.65</v>
      </c>
      <c r="L10" s="3">
        <v>0</v>
      </c>
      <c r="M10" s="3"/>
      <c r="N10" s="179">
        <v>1.2</v>
      </c>
      <c r="O10" s="180">
        <v>0.45</v>
      </c>
      <c r="P10" s="179">
        <v>1.05</v>
      </c>
      <c r="Q10" s="179">
        <v>0</v>
      </c>
      <c r="R10" s="179">
        <f t="shared" si="5"/>
        <v>1.2</v>
      </c>
      <c r="S10" s="179">
        <f t="shared" si="6"/>
        <v>2.7</v>
      </c>
      <c r="T10" s="3">
        <v>0.3</v>
      </c>
      <c r="U10" s="3">
        <v>0.1</v>
      </c>
      <c r="V10" s="3">
        <v>0.4</v>
      </c>
      <c r="W10" s="3"/>
      <c r="X10" s="3"/>
    </row>
    <row r="11" spans="3:28">
      <c r="C11" s="15">
        <f t="shared" si="7"/>
        <v>2025.5</v>
      </c>
      <c r="D11" s="3">
        <f t="shared" si="3"/>
        <v>0</v>
      </c>
      <c r="E11" s="3">
        <f t="shared" si="0"/>
        <v>0.10000000000000003</v>
      </c>
      <c r="F11" s="3">
        <f t="shared" si="1"/>
        <v>0.4</v>
      </c>
      <c r="G11" s="3">
        <f t="shared" si="2"/>
        <v>0</v>
      </c>
      <c r="H11" s="3">
        <f t="shared" si="4"/>
        <v>0.5</v>
      </c>
      <c r="I11" s="3">
        <v>1.2</v>
      </c>
      <c r="J11" s="3">
        <v>0.35</v>
      </c>
      <c r="K11" s="3">
        <v>0.65</v>
      </c>
      <c r="L11" s="3">
        <v>0</v>
      </c>
      <c r="M11" s="3"/>
      <c r="N11" s="179">
        <v>1.2</v>
      </c>
      <c r="O11" s="180">
        <v>0.45</v>
      </c>
      <c r="P11" s="179">
        <v>1.05</v>
      </c>
      <c r="Q11" s="179">
        <v>0</v>
      </c>
      <c r="R11" s="179">
        <f t="shared" si="5"/>
        <v>1.2</v>
      </c>
      <c r="S11" s="179">
        <f t="shared" si="6"/>
        <v>2.7</v>
      </c>
      <c r="T11" s="3">
        <v>0.3</v>
      </c>
      <c r="U11" s="3">
        <v>0.15</v>
      </c>
      <c r="V11" s="3">
        <v>0.4</v>
      </c>
      <c r="W11" s="3"/>
      <c r="X11" s="3"/>
    </row>
    <row r="12" spans="3:28">
      <c r="C12" s="15">
        <f t="shared" si="7"/>
        <v>2025.75</v>
      </c>
      <c r="D12" s="3">
        <f t="shared" si="3"/>
        <v>0.8</v>
      </c>
      <c r="E12" s="3">
        <f t="shared" si="0"/>
        <v>0.10000000000000003</v>
      </c>
      <c r="F12" s="3">
        <f t="shared" si="1"/>
        <v>0.4</v>
      </c>
      <c r="G12" s="3">
        <f t="shared" si="2"/>
        <v>0</v>
      </c>
      <c r="H12" s="3">
        <f t="shared" si="4"/>
        <v>1.3000000000000003</v>
      </c>
      <c r="I12" s="3">
        <v>1.2</v>
      </c>
      <c r="J12" s="3">
        <v>0.35</v>
      </c>
      <c r="K12" s="3">
        <v>0.65</v>
      </c>
      <c r="L12" s="3">
        <v>0</v>
      </c>
      <c r="M12" s="3"/>
      <c r="N12" s="179">
        <v>2</v>
      </c>
      <c r="O12" s="180">
        <v>0.45</v>
      </c>
      <c r="P12" s="179">
        <v>1.05</v>
      </c>
      <c r="Q12" s="179">
        <v>0</v>
      </c>
      <c r="R12" s="179">
        <f t="shared" si="5"/>
        <v>2</v>
      </c>
      <c r="S12" s="179">
        <f t="shared" si="6"/>
        <v>3.5</v>
      </c>
      <c r="T12" s="3">
        <v>0.4</v>
      </c>
      <c r="U12" s="3">
        <v>0.15</v>
      </c>
      <c r="V12" s="3">
        <v>0.4</v>
      </c>
      <c r="W12" s="3"/>
      <c r="X12" s="3"/>
    </row>
    <row r="13" spans="3:28">
      <c r="C13" s="15">
        <f t="shared" si="7"/>
        <v>2026</v>
      </c>
      <c r="D13" s="3">
        <f t="shared" si="3"/>
        <v>0.8</v>
      </c>
      <c r="E13" s="3">
        <f t="shared" si="0"/>
        <v>0.10000000000000003</v>
      </c>
      <c r="F13" s="3">
        <f t="shared" si="1"/>
        <v>0.4</v>
      </c>
      <c r="G13" s="3">
        <f t="shared" si="2"/>
        <v>0</v>
      </c>
      <c r="H13" s="3">
        <f t="shared" si="4"/>
        <v>1.3000000000000003</v>
      </c>
      <c r="I13" s="3">
        <v>1.2</v>
      </c>
      <c r="J13" s="3">
        <v>0.35</v>
      </c>
      <c r="K13" s="3">
        <v>0.65</v>
      </c>
      <c r="L13" s="3">
        <v>0</v>
      </c>
      <c r="M13" s="3"/>
      <c r="N13" s="179">
        <v>2</v>
      </c>
      <c r="O13" s="180">
        <v>0.45</v>
      </c>
      <c r="P13" s="179">
        <v>1.05</v>
      </c>
      <c r="Q13" s="179">
        <v>0</v>
      </c>
      <c r="R13" s="179">
        <f t="shared" si="5"/>
        <v>2</v>
      </c>
      <c r="S13" s="179">
        <f t="shared" si="6"/>
        <v>3.5</v>
      </c>
      <c r="T13" s="3">
        <v>0.4</v>
      </c>
      <c r="U13" s="3">
        <v>0.15</v>
      </c>
      <c r="V13" s="3">
        <v>0.4</v>
      </c>
      <c r="W13" s="3"/>
      <c r="X13" s="3"/>
    </row>
    <row r="14" spans="3:28">
      <c r="C14" s="15">
        <f t="shared" si="7"/>
        <v>2026.25</v>
      </c>
      <c r="D14" s="3">
        <f t="shared" si="3"/>
        <v>0.8</v>
      </c>
      <c r="E14" s="3">
        <f t="shared" si="0"/>
        <v>0.10000000000000003</v>
      </c>
      <c r="F14" s="3">
        <f t="shared" si="1"/>
        <v>0.4</v>
      </c>
      <c r="G14" s="3">
        <f t="shared" si="2"/>
        <v>0</v>
      </c>
      <c r="H14" s="3">
        <f t="shared" si="4"/>
        <v>1.3000000000000003</v>
      </c>
      <c r="I14" s="3">
        <v>1.2</v>
      </c>
      <c r="J14" s="3">
        <v>0.35</v>
      </c>
      <c r="K14" s="3">
        <v>0.65</v>
      </c>
      <c r="L14" s="3">
        <v>0</v>
      </c>
      <c r="M14" s="3"/>
      <c r="N14" s="179">
        <v>2</v>
      </c>
      <c r="O14" s="180">
        <v>0.45</v>
      </c>
      <c r="P14" s="179">
        <v>1.05</v>
      </c>
      <c r="Q14" s="179">
        <v>0</v>
      </c>
      <c r="R14" s="179">
        <f t="shared" si="5"/>
        <v>2</v>
      </c>
      <c r="S14" s="179">
        <f t="shared" si="6"/>
        <v>3.5</v>
      </c>
      <c r="T14" s="3">
        <v>0.4</v>
      </c>
      <c r="U14" s="3">
        <v>0.15</v>
      </c>
      <c r="V14" s="3">
        <v>0.4</v>
      </c>
      <c r="W14" s="3"/>
      <c r="X14" s="3"/>
    </row>
    <row r="15" spans="3:28">
      <c r="C15" s="15">
        <f t="shared" si="7"/>
        <v>2026.5</v>
      </c>
      <c r="D15" s="3">
        <f t="shared" si="3"/>
        <v>0.8</v>
      </c>
      <c r="E15" s="3">
        <f t="shared" si="0"/>
        <v>0.10000000000000003</v>
      </c>
      <c r="F15" s="3">
        <f t="shared" si="1"/>
        <v>0.4</v>
      </c>
      <c r="G15" s="3">
        <f t="shared" si="2"/>
        <v>0</v>
      </c>
      <c r="H15" s="3">
        <f t="shared" si="4"/>
        <v>1.3000000000000003</v>
      </c>
      <c r="I15" s="3">
        <v>1.2</v>
      </c>
      <c r="J15" s="3">
        <v>0.35</v>
      </c>
      <c r="K15" s="3">
        <v>0.65</v>
      </c>
      <c r="L15" s="3">
        <v>0</v>
      </c>
      <c r="M15" s="3"/>
      <c r="N15" s="179">
        <v>2</v>
      </c>
      <c r="O15" s="180">
        <v>0.45</v>
      </c>
      <c r="P15" s="179">
        <v>1.05</v>
      </c>
      <c r="Q15" s="179">
        <v>0</v>
      </c>
      <c r="R15" s="179">
        <f t="shared" si="5"/>
        <v>2</v>
      </c>
      <c r="S15" s="179">
        <f t="shared" si="6"/>
        <v>3.5</v>
      </c>
      <c r="T15" s="3">
        <v>0.4</v>
      </c>
      <c r="U15" s="3">
        <v>0.15</v>
      </c>
      <c r="V15" s="3">
        <v>0.4</v>
      </c>
      <c r="W15" s="3"/>
      <c r="X15" s="3"/>
    </row>
    <row r="16" spans="3:28">
      <c r="C16" s="15">
        <f t="shared" si="7"/>
        <v>2026.75</v>
      </c>
      <c r="D16" s="3">
        <f t="shared" si="3"/>
        <v>0.8</v>
      </c>
      <c r="E16" s="3">
        <f t="shared" si="0"/>
        <v>0.10000000000000003</v>
      </c>
      <c r="F16" s="3">
        <f t="shared" si="1"/>
        <v>0.4</v>
      </c>
      <c r="G16" s="3">
        <f t="shared" si="2"/>
        <v>0</v>
      </c>
      <c r="H16" s="3">
        <f t="shared" si="4"/>
        <v>1.3000000000000003</v>
      </c>
      <c r="I16" s="3">
        <v>1.2</v>
      </c>
      <c r="J16" s="3">
        <v>0.35</v>
      </c>
      <c r="K16" s="3">
        <v>0.65</v>
      </c>
      <c r="L16" s="3">
        <v>0</v>
      </c>
      <c r="M16" s="3"/>
      <c r="N16" s="179">
        <v>2</v>
      </c>
      <c r="O16" s="180">
        <v>0.45</v>
      </c>
      <c r="P16" s="179">
        <v>1.05</v>
      </c>
      <c r="Q16" s="179">
        <v>0</v>
      </c>
      <c r="R16" s="179">
        <f t="shared" si="5"/>
        <v>2</v>
      </c>
      <c r="S16" s="179">
        <f t="shared" si="6"/>
        <v>3.5</v>
      </c>
      <c r="T16" s="3">
        <v>0.4</v>
      </c>
      <c r="U16" s="3">
        <v>0.15</v>
      </c>
      <c r="V16" s="3">
        <v>0.4</v>
      </c>
      <c r="W16" s="3"/>
      <c r="X16" s="3"/>
    </row>
    <row r="17" spans="3:24">
      <c r="C17" s="15">
        <f t="shared" si="7"/>
        <v>2027</v>
      </c>
      <c r="D17" s="3">
        <f t="shared" si="3"/>
        <v>1.35</v>
      </c>
      <c r="E17" s="3">
        <f t="shared" si="0"/>
        <v>0.10000000000000003</v>
      </c>
      <c r="F17" s="3">
        <f t="shared" si="1"/>
        <v>0.4</v>
      </c>
      <c r="G17" s="3">
        <f t="shared" si="2"/>
        <v>0</v>
      </c>
      <c r="H17" s="3">
        <f t="shared" si="4"/>
        <v>1.85</v>
      </c>
      <c r="I17" s="3">
        <v>0.65</v>
      </c>
      <c r="J17" s="3">
        <v>0.35</v>
      </c>
      <c r="K17" s="3">
        <v>0.65</v>
      </c>
      <c r="L17" s="3">
        <v>0</v>
      </c>
      <c r="M17" s="3"/>
      <c r="N17" s="179">
        <v>2</v>
      </c>
      <c r="O17" s="180">
        <v>0.45</v>
      </c>
      <c r="P17" s="179">
        <v>1.05</v>
      </c>
      <c r="Q17" s="179">
        <v>0</v>
      </c>
      <c r="R17" s="179">
        <f t="shared" si="5"/>
        <v>2</v>
      </c>
      <c r="S17" s="179">
        <f t="shared" si="6"/>
        <v>3.5</v>
      </c>
      <c r="T17" s="3">
        <v>0.4</v>
      </c>
      <c r="U17" s="3">
        <v>0.15</v>
      </c>
      <c r="V17" s="3">
        <v>0.8</v>
      </c>
      <c r="W17" s="3"/>
      <c r="X17" s="3"/>
    </row>
    <row r="18" spans="3:24">
      <c r="C18" s="15">
        <f t="shared" si="7"/>
        <v>2027.25</v>
      </c>
      <c r="D18" s="3">
        <f t="shared" si="3"/>
        <v>1.35</v>
      </c>
      <c r="E18" s="3">
        <f t="shared" si="0"/>
        <v>0.10000000000000003</v>
      </c>
      <c r="F18" s="3">
        <f t="shared" si="1"/>
        <v>0.4</v>
      </c>
      <c r="G18" s="3">
        <f t="shared" si="2"/>
        <v>5</v>
      </c>
      <c r="H18" s="3">
        <f t="shared" si="4"/>
        <v>6.85</v>
      </c>
      <c r="I18" s="3">
        <v>0.65</v>
      </c>
      <c r="J18" s="3">
        <v>0.35</v>
      </c>
      <c r="K18" s="3">
        <v>0.65</v>
      </c>
      <c r="L18" s="3">
        <v>0</v>
      </c>
      <c r="M18" s="3"/>
      <c r="N18" s="179">
        <v>2</v>
      </c>
      <c r="O18" s="180">
        <v>0.45</v>
      </c>
      <c r="P18" s="179">
        <v>1.05</v>
      </c>
      <c r="Q18" s="179">
        <v>5</v>
      </c>
      <c r="R18" s="179">
        <f t="shared" si="5"/>
        <v>7</v>
      </c>
      <c r="S18" s="179">
        <f t="shared" si="6"/>
        <v>8.5</v>
      </c>
      <c r="T18" s="3">
        <v>0.4</v>
      </c>
      <c r="U18" s="3">
        <v>0.15</v>
      </c>
      <c r="V18" s="3">
        <v>0.8</v>
      </c>
      <c r="W18" s="3">
        <v>0.8</v>
      </c>
      <c r="X18" s="3"/>
    </row>
    <row r="19" spans="3:24">
      <c r="C19" s="15">
        <f t="shared" si="7"/>
        <v>2027.5</v>
      </c>
      <c r="D19" s="3">
        <f t="shared" si="3"/>
        <v>1.35</v>
      </c>
      <c r="E19" s="3">
        <f t="shared" si="0"/>
        <v>0.10000000000000003</v>
      </c>
      <c r="F19" s="3">
        <f t="shared" si="1"/>
        <v>0.4</v>
      </c>
      <c r="G19" s="3">
        <f t="shared" si="2"/>
        <v>5</v>
      </c>
      <c r="H19" s="3">
        <f t="shared" si="4"/>
        <v>6.85</v>
      </c>
      <c r="I19" s="3">
        <v>0.65</v>
      </c>
      <c r="J19" s="3">
        <v>0.35</v>
      </c>
      <c r="K19" s="3">
        <v>0.65</v>
      </c>
      <c r="L19" s="3">
        <v>0</v>
      </c>
      <c r="M19" s="3"/>
      <c r="N19" s="179">
        <v>2</v>
      </c>
      <c r="O19" s="180">
        <v>0.45</v>
      </c>
      <c r="P19" s="179">
        <v>1.05</v>
      </c>
      <c r="Q19" s="179">
        <v>5</v>
      </c>
      <c r="R19" s="179">
        <f t="shared" si="5"/>
        <v>7</v>
      </c>
      <c r="S19" s="179">
        <f t="shared" si="6"/>
        <v>8.5</v>
      </c>
      <c r="T19" s="3">
        <v>0.4</v>
      </c>
      <c r="U19" s="3">
        <v>0.15</v>
      </c>
      <c r="V19" s="3">
        <v>0.8</v>
      </c>
      <c r="W19" s="3">
        <v>0.8</v>
      </c>
      <c r="X19" s="3"/>
    </row>
    <row r="20" spans="3:24">
      <c r="C20" s="15">
        <f t="shared" si="7"/>
        <v>2027.75</v>
      </c>
      <c r="D20" s="3">
        <f t="shared" si="3"/>
        <v>1.35</v>
      </c>
      <c r="E20" s="3">
        <f t="shared" si="0"/>
        <v>0.10000000000000003</v>
      </c>
      <c r="F20" s="3">
        <f t="shared" si="1"/>
        <v>0.4</v>
      </c>
      <c r="G20" s="3">
        <f t="shared" si="2"/>
        <v>5</v>
      </c>
      <c r="H20" s="3">
        <f t="shared" si="4"/>
        <v>6.85</v>
      </c>
      <c r="I20" s="3">
        <v>0.65</v>
      </c>
      <c r="J20" s="3">
        <v>0.35</v>
      </c>
      <c r="K20" s="3">
        <v>0.65</v>
      </c>
      <c r="L20" s="3">
        <v>0</v>
      </c>
      <c r="M20" s="3"/>
      <c r="N20" s="179">
        <v>2</v>
      </c>
      <c r="O20" s="180">
        <v>0.45</v>
      </c>
      <c r="P20" s="179">
        <v>1.05</v>
      </c>
      <c r="Q20" s="179">
        <v>5</v>
      </c>
      <c r="R20" s="179">
        <f t="shared" si="5"/>
        <v>7</v>
      </c>
      <c r="S20" s="179">
        <f t="shared" si="6"/>
        <v>8.5</v>
      </c>
      <c r="T20" s="3">
        <v>0.4</v>
      </c>
      <c r="U20" s="3">
        <v>0.15</v>
      </c>
      <c r="V20" s="3">
        <v>0.8</v>
      </c>
      <c r="W20" s="3">
        <v>0.8</v>
      </c>
      <c r="X20" s="3"/>
    </row>
    <row r="21" spans="3:24">
      <c r="C21" s="15">
        <f t="shared" si="7"/>
        <v>2028</v>
      </c>
      <c r="D21" s="3">
        <f t="shared" si="3"/>
        <v>1.55</v>
      </c>
      <c r="E21" s="3">
        <f t="shared" si="0"/>
        <v>0.10000000000000003</v>
      </c>
      <c r="F21" s="3">
        <f t="shared" si="1"/>
        <v>2.2000000000000002</v>
      </c>
      <c r="G21" s="3">
        <f t="shared" si="2"/>
        <v>5</v>
      </c>
      <c r="H21" s="3">
        <f t="shared" si="4"/>
        <v>8.8500000000000014</v>
      </c>
      <c r="I21" s="3">
        <v>0.45</v>
      </c>
      <c r="J21" s="3">
        <v>0.35</v>
      </c>
      <c r="K21" s="3">
        <v>0.65</v>
      </c>
      <c r="L21" s="3">
        <v>0</v>
      </c>
      <c r="M21" s="3"/>
      <c r="N21" s="179">
        <v>2</v>
      </c>
      <c r="O21" s="180">
        <v>0.45</v>
      </c>
      <c r="P21" s="179">
        <v>2.85</v>
      </c>
      <c r="Q21" s="179">
        <v>5</v>
      </c>
      <c r="R21" s="179">
        <f t="shared" si="5"/>
        <v>7</v>
      </c>
      <c r="S21" s="179">
        <f t="shared" si="6"/>
        <v>10.3</v>
      </c>
      <c r="T21" s="3">
        <v>0.4</v>
      </c>
      <c r="U21" s="3">
        <v>0.15</v>
      </c>
      <c r="V21" s="3">
        <v>0.8</v>
      </c>
      <c r="W21" s="3">
        <v>0.8</v>
      </c>
      <c r="X21" s="3"/>
    </row>
    <row r="22" spans="3:24">
      <c r="C22" s="15">
        <f t="shared" si="7"/>
        <v>2028.25</v>
      </c>
      <c r="D22" s="3">
        <f t="shared" si="3"/>
        <v>1.35</v>
      </c>
      <c r="E22" s="3">
        <f t="shared" si="0"/>
        <v>0</v>
      </c>
      <c r="F22" s="3">
        <f t="shared" si="1"/>
        <v>2.2000000000000002</v>
      </c>
      <c r="G22" s="3">
        <f t="shared" si="2"/>
        <v>5</v>
      </c>
      <c r="H22" s="3">
        <f t="shared" si="4"/>
        <v>8.5500000000000007</v>
      </c>
      <c r="I22" s="3">
        <v>0.65</v>
      </c>
      <c r="J22" s="3">
        <v>0</v>
      </c>
      <c r="K22" s="3">
        <v>0.65</v>
      </c>
      <c r="L22" s="3">
        <v>0</v>
      </c>
      <c r="M22" s="3"/>
      <c r="N22" s="179">
        <v>2</v>
      </c>
      <c r="O22" s="180">
        <v>0</v>
      </c>
      <c r="P22" s="179">
        <v>2.85</v>
      </c>
      <c r="Q22" s="179">
        <v>5</v>
      </c>
      <c r="R22" s="179">
        <f t="shared" si="5"/>
        <v>7</v>
      </c>
      <c r="S22" s="179">
        <f t="shared" si="6"/>
        <v>9.85</v>
      </c>
      <c r="T22" s="3">
        <v>0.4</v>
      </c>
      <c r="U22" s="3">
        <v>0</v>
      </c>
      <c r="V22" s="3">
        <v>0.8</v>
      </c>
      <c r="W22" s="3">
        <v>0.8</v>
      </c>
      <c r="X22" s="3"/>
    </row>
    <row r="23" spans="3:24">
      <c r="C23" s="15">
        <f t="shared" si="7"/>
        <v>2028.5</v>
      </c>
      <c r="D23" s="3">
        <f t="shared" si="3"/>
        <v>1.35</v>
      </c>
      <c r="E23" s="3">
        <f t="shared" si="0"/>
        <v>0</v>
      </c>
      <c r="F23" s="3">
        <f t="shared" si="1"/>
        <v>2.2000000000000002</v>
      </c>
      <c r="G23" s="3">
        <f t="shared" si="2"/>
        <v>5</v>
      </c>
      <c r="H23" s="3">
        <f t="shared" si="4"/>
        <v>8.5500000000000007</v>
      </c>
      <c r="I23" s="3">
        <v>0.65</v>
      </c>
      <c r="J23" s="3">
        <v>0</v>
      </c>
      <c r="K23" s="3">
        <v>0.65</v>
      </c>
      <c r="L23" s="3">
        <v>0</v>
      </c>
      <c r="M23" s="3"/>
      <c r="N23" s="179">
        <v>2</v>
      </c>
      <c r="O23" s="180">
        <v>0</v>
      </c>
      <c r="P23" s="179">
        <v>2.85</v>
      </c>
      <c r="Q23" s="179">
        <v>5</v>
      </c>
      <c r="R23" s="179">
        <f t="shared" si="5"/>
        <v>7</v>
      </c>
      <c r="S23" s="179">
        <f t="shared" si="6"/>
        <v>9.85</v>
      </c>
      <c r="T23" s="3">
        <v>0.4</v>
      </c>
      <c r="U23" s="3">
        <v>0</v>
      </c>
      <c r="V23" s="3">
        <v>0.8</v>
      </c>
      <c r="W23" s="3">
        <v>0.8</v>
      </c>
      <c r="X23" s="3"/>
    </row>
    <row r="24" spans="3:24">
      <c r="C24" s="15">
        <f t="shared" si="7"/>
        <v>2028.75</v>
      </c>
      <c r="D24" s="3">
        <f t="shared" si="3"/>
        <v>1.35</v>
      </c>
      <c r="E24" s="3">
        <f t="shared" si="0"/>
        <v>0</v>
      </c>
      <c r="F24" s="3">
        <f t="shared" si="1"/>
        <v>2.2000000000000002</v>
      </c>
      <c r="G24" s="3">
        <f t="shared" si="2"/>
        <v>5</v>
      </c>
      <c r="H24" s="3">
        <f t="shared" si="4"/>
        <v>8.5500000000000007</v>
      </c>
      <c r="I24" s="3">
        <v>0.65</v>
      </c>
      <c r="J24" s="3">
        <v>0</v>
      </c>
      <c r="K24" s="3">
        <v>0.65</v>
      </c>
      <c r="L24" s="3">
        <v>0</v>
      </c>
      <c r="M24" s="3"/>
      <c r="N24" s="179">
        <v>2</v>
      </c>
      <c r="O24" s="180">
        <v>0</v>
      </c>
      <c r="P24" s="179">
        <v>2.85</v>
      </c>
      <c r="Q24" s="179">
        <v>5</v>
      </c>
      <c r="R24" s="179">
        <f t="shared" si="5"/>
        <v>7</v>
      </c>
      <c r="S24" s="179">
        <f t="shared" si="6"/>
        <v>9.85</v>
      </c>
      <c r="T24" s="3">
        <v>0.4</v>
      </c>
      <c r="U24" s="3">
        <v>0</v>
      </c>
      <c r="V24" s="3">
        <v>0.8</v>
      </c>
      <c r="W24" s="3">
        <v>0.8</v>
      </c>
      <c r="X24" s="3"/>
    </row>
    <row r="25" spans="3:24">
      <c r="C25" s="15">
        <f t="shared" si="7"/>
        <v>2029</v>
      </c>
      <c r="D25" s="3">
        <f t="shared" si="3"/>
        <v>1.35</v>
      </c>
      <c r="E25" s="3">
        <f t="shared" si="0"/>
        <v>0</v>
      </c>
      <c r="F25" s="3">
        <f t="shared" si="1"/>
        <v>2.2000000000000002</v>
      </c>
      <c r="G25" s="3">
        <f t="shared" si="2"/>
        <v>5</v>
      </c>
      <c r="H25" s="3">
        <f t="shared" si="4"/>
        <v>8.5500000000000007</v>
      </c>
      <c r="I25" s="3">
        <v>0.65</v>
      </c>
      <c r="J25" s="3">
        <v>0</v>
      </c>
      <c r="K25" s="3">
        <v>0.65</v>
      </c>
      <c r="L25" s="3">
        <v>0</v>
      </c>
      <c r="M25" s="3"/>
      <c r="N25" s="179">
        <v>2</v>
      </c>
      <c r="O25" s="180">
        <v>0</v>
      </c>
      <c r="P25" s="179">
        <v>2.85</v>
      </c>
      <c r="Q25" s="179">
        <v>5</v>
      </c>
      <c r="R25" s="179">
        <f t="shared" si="5"/>
        <v>7</v>
      </c>
      <c r="S25" s="179">
        <f t="shared" si="6"/>
        <v>9.85</v>
      </c>
      <c r="T25" s="3">
        <v>0.4</v>
      </c>
      <c r="U25" s="3">
        <v>0</v>
      </c>
      <c r="V25" s="3">
        <v>0.8</v>
      </c>
      <c r="W25" s="3">
        <v>0.8</v>
      </c>
      <c r="X25" s="3"/>
    </row>
    <row r="26" spans="3:24">
      <c r="C26" s="15">
        <f t="shared" si="7"/>
        <v>2029.25</v>
      </c>
      <c r="D26" s="3">
        <f t="shared" si="3"/>
        <v>1.35</v>
      </c>
      <c r="E26" s="3">
        <f t="shared" si="0"/>
        <v>0</v>
      </c>
      <c r="F26" s="3">
        <f t="shared" si="1"/>
        <v>2.2000000000000002</v>
      </c>
      <c r="G26" s="3">
        <f t="shared" si="2"/>
        <v>5</v>
      </c>
      <c r="H26" s="3">
        <f t="shared" si="4"/>
        <v>8.5500000000000007</v>
      </c>
      <c r="I26" s="3">
        <v>0.65</v>
      </c>
      <c r="J26" s="3">
        <v>0</v>
      </c>
      <c r="K26" s="3">
        <v>0.65</v>
      </c>
      <c r="L26" s="3">
        <v>0</v>
      </c>
      <c r="M26" s="3"/>
      <c r="N26" s="179">
        <v>2</v>
      </c>
      <c r="O26" s="180">
        <v>0</v>
      </c>
      <c r="P26" s="179">
        <v>2.85</v>
      </c>
      <c r="Q26" s="179">
        <v>5</v>
      </c>
      <c r="R26" s="179">
        <f t="shared" si="5"/>
        <v>7</v>
      </c>
      <c r="S26" s="179">
        <f t="shared" si="6"/>
        <v>9.85</v>
      </c>
      <c r="T26" s="3">
        <v>0.4</v>
      </c>
      <c r="U26" s="3">
        <v>0</v>
      </c>
      <c r="V26" s="3">
        <v>0.8</v>
      </c>
      <c r="W26" s="3">
        <v>0.8</v>
      </c>
      <c r="X26" s="3"/>
    </row>
    <row r="27" spans="3:24">
      <c r="C27" s="15">
        <f t="shared" si="7"/>
        <v>2029.5</v>
      </c>
      <c r="D27" s="3">
        <f t="shared" si="3"/>
        <v>1.35</v>
      </c>
      <c r="E27" s="3">
        <f t="shared" si="0"/>
        <v>0</v>
      </c>
      <c r="F27" s="3">
        <f t="shared" si="1"/>
        <v>2.2000000000000002</v>
      </c>
      <c r="G27" s="3">
        <f t="shared" si="2"/>
        <v>5</v>
      </c>
      <c r="H27" s="3">
        <f t="shared" si="4"/>
        <v>8.5500000000000007</v>
      </c>
      <c r="I27" s="3">
        <v>0.65</v>
      </c>
      <c r="J27" s="3">
        <v>0</v>
      </c>
      <c r="K27" s="3">
        <v>0.65</v>
      </c>
      <c r="L27" s="3">
        <v>0</v>
      </c>
      <c r="M27" s="3"/>
      <c r="N27" s="179">
        <v>2</v>
      </c>
      <c r="O27" s="180">
        <v>0</v>
      </c>
      <c r="P27" s="179">
        <v>2.85</v>
      </c>
      <c r="Q27" s="179">
        <v>5</v>
      </c>
      <c r="R27" s="179">
        <f t="shared" si="5"/>
        <v>7</v>
      </c>
      <c r="S27" s="179">
        <f t="shared" si="6"/>
        <v>9.85</v>
      </c>
      <c r="T27" s="3">
        <v>0.4</v>
      </c>
      <c r="U27" s="3">
        <v>0</v>
      </c>
      <c r="V27" s="3">
        <v>0.8</v>
      </c>
      <c r="W27" s="3">
        <v>0.8</v>
      </c>
      <c r="X27" s="3"/>
    </row>
    <row r="28" spans="3:24">
      <c r="C28" s="15">
        <f t="shared" si="7"/>
        <v>2029.75</v>
      </c>
      <c r="D28" s="3">
        <f t="shared" si="3"/>
        <v>1.35</v>
      </c>
      <c r="E28" s="3">
        <f t="shared" si="0"/>
        <v>0</v>
      </c>
      <c r="F28" s="3">
        <f t="shared" si="1"/>
        <v>2.2000000000000002</v>
      </c>
      <c r="G28" s="3">
        <f t="shared" si="2"/>
        <v>5</v>
      </c>
      <c r="H28" s="3">
        <f t="shared" si="4"/>
        <v>8.5500000000000007</v>
      </c>
      <c r="I28" s="3">
        <v>0.65</v>
      </c>
      <c r="J28" s="3">
        <v>0</v>
      </c>
      <c r="K28" s="3">
        <v>0.65</v>
      </c>
      <c r="L28" s="3">
        <v>0</v>
      </c>
      <c r="M28" s="3"/>
      <c r="N28" s="179">
        <v>2</v>
      </c>
      <c r="O28" s="180">
        <v>0</v>
      </c>
      <c r="P28" s="179">
        <v>2.85</v>
      </c>
      <c r="Q28" s="179">
        <v>5</v>
      </c>
      <c r="R28" s="179">
        <f t="shared" si="5"/>
        <v>7</v>
      </c>
      <c r="S28" s="179">
        <f t="shared" si="6"/>
        <v>9.85</v>
      </c>
      <c r="T28" s="3">
        <v>0.4</v>
      </c>
      <c r="U28" s="3">
        <v>0</v>
      </c>
      <c r="V28" s="3">
        <v>0.8</v>
      </c>
      <c r="W28" s="3">
        <v>0.8</v>
      </c>
      <c r="X28" s="3"/>
    </row>
    <row r="29" spans="3:24">
      <c r="C29" s="15">
        <f t="shared" si="7"/>
        <v>2030</v>
      </c>
      <c r="D29" s="3">
        <f t="shared" si="3"/>
        <v>1.35</v>
      </c>
      <c r="E29" s="3">
        <f t="shared" si="0"/>
        <v>0</v>
      </c>
      <c r="F29" s="3">
        <f t="shared" si="1"/>
        <v>2.2000000000000002</v>
      </c>
      <c r="G29" s="3">
        <f t="shared" si="2"/>
        <v>5</v>
      </c>
      <c r="H29" s="3">
        <f t="shared" si="4"/>
        <v>8.5500000000000007</v>
      </c>
      <c r="I29" s="3">
        <v>0.65</v>
      </c>
      <c r="J29" s="3">
        <v>0</v>
      </c>
      <c r="K29" s="3">
        <v>0.65</v>
      </c>
      <c r="L29" s="3">
        <v>0</v>
      </c>
      <c r="M29" s="3"/>
      <c r="N29" s="179">
        <v>2</v>
      </c>
      <c r="O29" s="180">
        <v>0</v>
      </c>
      <c r="P29" s="179">
        <v>2.85</v>
      </c>
      <c r="Q29" s="179">
        <v>5</v>
      </c>
      <c r="R29" s="179">
        <f t="shared" si="5"/>
        <v>7</v>
      </c>
      <c r="S29" s="179">
        <f t="shared" si="6"/>
        <v>9.85</v>
      </c>
      <c r="T29" s="3">
        <v>0.4</v>
      </c>
      <c r="U29" s="3">
        <v>0</v>
      </c>
      <c r="V29" s="3">
        <v>0.8</v>
      </c>
      <c r="W29" s="3">
        <v>0.8</v>
      </c>
      <c r="X29" s="3"/>
    </row>
    <row r="32" spans="3:24" ht="15.95" thickBot="1">
      <c r="C32" s="192"/>
      <c r="D32" s="193"/>
      <c r="E32" s="193"/>
      <c r="F32" s="193"/>
      <c r="G32" s="193"/>
      <c r="H32" s="193" t="s">
        <v>87</v>
      </c>
      <c r="I32" s="193"/>
      <c r="J32" s="193"/>
      <c r="K32" s="193"/>
      <c r="L32" s="193"/>
      <c r="M32" s="193"/>
      <c r="N32" s="192"/>
      <c r="O32" s="193"/>
      <c r="P32" s="192"/>
      <c r="Q32" s="193"/>
      <c r="R32" s="193"/>
      <c r="S32" s="193"/>
    </row>
    <row r="33" spans="3:19" ht="15.95" thickBot="1">
      <c r="C33" s="232" t="s">
        <v>88</v>
      </c>
      <c r="D33" s="233"/>
      <c r="E33" s="233"/>
      <c r="F33" s="233"/>
      <c r="G33" s="233"/>
      <c r="H33" s="234"/>
      <c r="M33" s="232" t="s">
        <v>88</v>
      </c>
      <c r="N33" s="233"/>
      <c r="O33" s="233"/>
      <c r="P33" s="233"/>
      <c r="Q33" s="233"/>
      <c r="R33" s="233"/>
      <c r="S33" s="234"/>
    </row>
    <row r="34" spans="3:19">
      <c r="C34" s="23">
        <v>2024</v>
      </c>
      <c r="D34" s="24">
        <f>D5</f>
        <v>0.44999999999999996</v>
      </c>
      <c r="E34" s="24">
        <f t="shared" ref="E34:H34" si="8">E5</f>
        <v>0.125</v>
      </c>
      <c r="F34" s="24">
        <f t="shared" si="8"/>
        <v>0.37</v>
      </c>
      <c r="G34" s="24">
        <f t="shared" si="8"/>
        <v>0</v>
      </c>
      <c r="H34" s="24">
        <f t="shared" si="8"/>
        <v>0.94499999999999995</v>
      </c>
      <c r="M34" s="23">
        <v>2024</v>
      </c>
      <c r="N34" s="24">
        <f>N5</f>
        <v>1.2</v>
      </c>
      <c r="O34" s="24">
        <f t="shared" ref="O34:S34" si="9">O5</f>
        <v>0.45</v>
      </c>
      <c r="P34" s="24">
        <f t="shared" si="9"/>
        <v>1.05</v>
      </c>
      <c r="Q34" s="24">
        <f t="shared" si="9"/>
        <v>0</v>
      </c>
      <c r="R34" s="24">
        <f>R5</f>
        <v>1.2</v>
      </c>
      <c r="S34" s="24">
        <f t="shared" si="9"/>
        <v>2.7</v>
      </c>
    </row>
    <row r="35" spans="3:19">
      <c r="C35" s="22">
        <v>2024.25</v>
      </c>
      <c r="D35" s="21">
        <f>D34</f>
        <v>0.44999999999999996</v>
      </c>
      <c r="E35" s="21">
        <f t="shared" ref="E35:H35" si="10">E34</f>
        <v>0.125</v>
      </c>
      <c r="F35" s="21">
        <f t="shared" si="10"/>
        <v>0.37</v>
      </c>
      <c r="G35" s="21">
        <f t="shared" si="10"/>
        <v>0</v>
      </c>
      <c r="H35" s="21">
        <f t="shared" si="10"/>
        <v>0.94499999999999995</v>
      </c>
      <c r="M35" s="22">
        <v>2024.25</v>
      </c>
      <c r="N35" s="21">
        <f>N34</f>
        <v>1.2</v>
      </c>
      <c r="O35" s="21">
        <f t="shared" ref="O35:S35" si="11">O34</f>
        <v>0.45</v>
      </c>
      <c r="P35" s="21">
        <f t="shared" si="11"/>
        <v>1.05</v>
      </c>
      <c r="Q35" s="21">
        <f t="shared" si="11"/>
        <v>0</v>
      </c>
      <c r="R35" s="21">
        <f>R34</f>
        <v>1.2</v>
      </c>
      <c r="S35" s="21">
        <f t="shared" si="11"/>
        <v>2.7</v>
      </c>
    </row>
    <row r="36" spans="3:19">
      <c r="C36" s="22">
        <f>C35</f>
        <v>2024.25</v>
      </c>
      <c r="D36" s="16">
        <f>D6</f>
        <v>0.44999999999999996</v>
      </c>
      <c r="E36" s="16">
        <f t="shared" ref="E36:H36" si="12">E6</f>
        <v>0.125</v>
      </c>
      <c r="F36" s="16">
        <f t="shared" si="12"/>
        <v>0.37</v>
      </c>
      <c r="G36" s="16">
        <f t="shared" si="12"/>
        <v>0</v>
      </c>
      <c r="H36" s="16">
        <f t="shared" si="12"/>
        <v>0.94499999999999995</v>
      </c>
      <c r="M36" s="22">
        <f>M35</f>
        <v>2024.25</v>
      </c>
      <c r="N36" s="16">
        <f>N6</f>
        <v>1.2</v>
      </c>
      <c r="O36" s="16">
        <f t="shared" ref="O36:S36" si="13">O6</f>
        <v>0.45</v>
      </c>
      <c r="P36" s="16">
        <f t="shared" si="13"/>
        <v>1.05</v>
      </c>
      <c r="Q36" s="16">
        <f t="shared" si="13"/>
        <v>0</v>
      </c>
      <c r="R36" s="16">
        <f>R6</f>
        <v>1.2</v>
      </c>
      <c r="S36" s="16">
        <f t="shared" si="13"/>
        <v>2.7</v>
      </c>
    </row>
    <row r="37" spans="3:19">
      <c r="C37" s="22">
        <v>2024.5</v>
      </c>
      <c r="D37" s="21">
        <f>D36</f>
        <v>0.44999999999999996</v>
      </c>
      <c r="E37" s="21">
        <f t="shared" ref="E37" si="14">E36</f>
        <v>0.125</v>
      </c>
      <c r="F37" s="21">
        <f t="shared" ref="F37" si="15">F36</f>
        <v>0.37</v>
      </c>
      <c r="G37" s="21">
        <f t="shared" ref="G37" si="16">G36</f>
        <v>0</v>
      </c>
      <c r="H37" s="21">
        <f t="shared" ref="H37" si="17">H36</f>
        <v>0.94499999999999995</v>
      </c>
      <c r="M37" s="22">
        <v>2024.5</v>
      </c>
      <c r="N37" s="21">
        <f>N36</f>
        <v>1.2</v>
      </c>
      <c r="O37" s="21">
        <f t="shared" ref="O37:S37" si="18">O36</f>
        <v>0.45</v>
      </c>
      <c r="P37" s="21">
        <f t="shared" si="18"/>
        <v>1.05</v>
      </c>
      <c r="Q37" s="21">
        <f t="shared" si="18"/>
        <v>0</v>
      </c>
      <c r="R37" s="21">
        <f>R36</f>
        <v>1.2</v>
      </c>
      <c r="S37" s="21">
        <f t="shared" si="18"/>
        <v>2.7</v>
      </c>
    </row>
    <row r="38" spans="3:19">
      <c r="C38" s="22">
        <f>C37</f>
        <v>2024.5</v>
      </c>
      <c r="D38" s="16">
        <f>D7</f>
        <v>9.9999999999999867E-2</v>
      </c>
      <c r="E38" s="16">
        <f t="shared" ref="E38:H38" si="19">E7</f>
        <v>0.125</v>
      </c>
      <c r="F38" s="16">
        <f t="shared" si="19"/>
        <v>0.37</v>
      </c>
      <c r="G38" s="16">
        <f t="shared" si="19"/>
        <v>0</v>
      </c>
      <c r="H38" s="16">
        <f t="shared" si="19"/>
        <v>0.59499999999999986</v>
      </c>
      <c r="M38" s="22">
        <f>M37</f>
        <v>2024.5</v>
      </c>
      <c r="N38" s="16">
        <f>N7</f>
        <v>1.2</v>
      </c>
      <c r="O38" s="16">
        <f t="shared" ref="O38:S38" si="20">O7</f>
        <v>0.45</v>
      </c>
      <c r="P38" s="16">
        <f t="shared" si="20"/>
        <v>1.05</v>
      </c>
      <c r="Q38" s="16">
        <f t="shared" si="20"/>
        <v>0</v>
      </c>
      <c r="R38" s="16">
        <f>R7</f>
        <v>1.2</v>
      </c>
      <c r="S38" s="16">
        <f t="shared" si="20"/>
        <v>2.7</v>
      </c>
    </row>
    <row r="39" spans="3:19">
      <c r="C39" s="22">
        <v>2024.75</v>
      </c>
      <c r="D39" s="21">
        <f>D38</f>
        <v>9.9999999999999867E-2</v>
      </c>
      <c r="E39" s="21">
        <f t="shared" ref="E39:E81" si="21">E38</f>
        <v>0.125</v>
      </c>
      <c r="F39" s="21">
        <f t="shared" ref="F39:F81" si="22">F38</f>
        <v>0.37</v>
      </c>
      <c r="G39" s="21">
        <f t="shared" ref="G39:G81" si="23">G38</f>
        <v>0</v>
      </c>
      <c r="H39" s="21">
        <f t="shared" ref="H39:H81" si="24">H38</f>
        <v>0.59499999999999986</v>
      </c>
      <c r="M39" s="22">
        <v>2024.75</v>
      </c>
      <c r="N39" s="21">
        <f>N38</f>
        <v>1.2</v>
      </c>
      <c r="O39" s="21">
        <f t="shared" ref="O39:S53" si="25">O38</f>
        <v>0.45</v>
      </c>
      <c r="P39" s="21">
        <f t="shared" si="25"/>
        <v>1.05</v>
      </c>
      <c r="Q39" s="21">
        <f t="shared" si="25"/>
        <v>0</v>
      </c>
      <c r="R39" s="21">
        <f>R38</f>
        <v>1.2</v>
      </c>
      <c r="S39" s="21">
        <f t="shared" si="25"/>
        <v>2.7</v>
      </c>
    </row>
    <row r="40" spans="3:19">
      <c r="C40" s="22">
        <f>C39</f>
        <v>2024.75</v>
      </c>
      <c r="D40" s="16">
        <f>D8</f>
        <v>9.9999999999999867E-2</v>
      </c>
      <c r="E40" s="16">
        <f t="shared" ref="E40:H40" si="26">E8</f>
        <v>0.125</v>
      </c>
      <c r="F40" s="16">
        <f t="shared" si="26"/>
        <v>0.47000000000000008</v>
      </c>
      <c r="G40" s="16">
        <f t="shared" si="26"/>
        <v>0</v>
      </c>
      <c r="H40" s="16">
        <f t="shared" si="26"/>
        <v>0.69499999999999995</v>
      </c>
      <c r="M40" s="22">
        <f>M39</f>
        <v>2024.75</v>
      </c>
      <c r="N40" s="16">
        <f>N8</f>
        <v>1.2</v>
      </c>
      <c r="O40" s="16">
        <f t="shared" ref="O40:S40" si="27">O8</f>
        <v>0.45</v>
      </c>
      <c r="P40" s="16">
        <f t="shared" si="27"/>
        <v>1.05</v>
      </c>
      <c r="Q40" s="16">
        <f t="shared" si="27"/>
        <v>0</v>
      </c>
      <c r="R40" s="16">
        <f>R8</f>
        <v>1.2</v>
      </c>
      <c r="S40" s="16">
        <f t="shared" si="27"/>
        <v>2.7</v>
      </c>
    </row>
    <row r="41" spans="3:19">
      <c r="C41" s="20">
        <v>2025</v>
      </c>
      <c r="D41" s="21">
        <f>D40</f>
        <v>9.9999999999999867E-2</v>
      </c>
      <c r="E41" s="21">
        <f t="shared" si="21"/>
        <v>0.125</v>
      </c>
      <c r="F41" s="21">
        <f t="shared" si="22"/>
        <v>0.47000000000000008</v>
      </c>
      <c r="G41" s="21">
        <f t="shared" si="23"/>
        <v>0</v>
      </c>
      <c r="H41" s="21">
        <f t="shared" si="24"/>
        <v>0.69499999999999995</v>
      </c>
      <c r="M41" s="20">
        <v>2025</v>
      </c>
      <c r="N41" s="21">
        <f>N40</f>
        <v>1.2</v>
      </c>
      <c r="O41" s="21">
        <f t="shared" si="25"/>
        <v>0.45</v>
      </c>
      <c r="P41" s="21">
        <f t="shared" si="25"/>
        <v>1.05</v>
      </c>
      <c r="Q41" s="21">
        <f t="shared" si="25"/>
        <v>0</v>
      </c>
      <c r="R41" s="21">
        <f>R40</f>
        <v>1.2</v>
      </c>
      <c r="S41" s="21">
        <f t="shared" si="25"/>
        <v>2.7</v>
      </c>
    </row>
    <row r="42" spans="3:19">
      <c r="C42" s="20">
        <f>C41</f>
        <v>2025</v>
      </c>
      <c r="D42" s="16">
        <f>D9</f>
        <v>0</v>
      </c>
      <c r="E42" s="16">
        <f t="shared" ref="E42:H42" si="28">E9</f>
        <v>0.10000000000000003</v>
      </c>
      <c r="F42" s="16">
        <f t="shared" si="28"/>
        <v>0.4</v>
      </c>
      <c r="G42" s="16">
        <f t="shared" si="28"/>
        <v>0</v>
      </c>
      <c r="H42" s="16">
        <f t="shared" si="28"/>
        <v>0.5</v>
      </c>
      <c r="M42" s="20">
        <f>M41</f>
        <v>2025</v>
      </c>
      <c r="N42" s="16">
        <f>N9</f>
        <v>1.2</v>
      </c>
      <c r="O42" s="16">
        <f t="shared" ref="O42:S42" si="29">O9</f>
        <v>0.45</v>
      </c>
      <c r="P42" s="16">
        <f t="shared" si="29"/>
        <v>1.05</v>
      </c>
      <c r="Q42" s="16">
        <f t="shared" si="29"/>
        <v>0</v>
      </c>
      <c r="R42" s="16">
        <f>R9</f>
        <v>1.2</v>
      </c>
      <c r="S42" s="16">
        <f t="shared" si="29"/>
        <v>2.7</v>
      </c>
    </row>
    <row r="43" spans="3:19">
      <c r="C43" s="20">
        <v>2025.25</v>
      </c>
      <c r="D43" s="21">
        <f>D42</f>
        <v>0</v>
      </c>
      <c r="E43" s="21">
        <f t="shared" si="21"/>
        <v>0.10000000000000003</v>
      </c>
      <c r="F43" s="21">
        <f t="shared" si="22"/>
        <v>0.4</v>
      </c>
      <c r="G43" s="21">
        <f t="shared" si="23"/>
        <v>0</v>
      </c>
      <c r="H43" s="21">
        <f t="shared" si="24"/>
        <v>0.5</v>
      </c>
      <c r="M43" s="20">
        <v>2025.25</v>
      </c>
      <c r="N43" s="21">
        <f>N42</f>
        <v>1.2</v>
      </c>
      <c r="O43" s="21">
        <f t="shared" si="25"/>
        <v>0.45</v>
      </c>
      <c r="P43" s="21">
        <f t="shared" si="25"/>
        <v>1.05</v>
      </c>
      <c r="Q43" s="21">
        <f t="shared" si="25"/>
        <v>0</v>
      </c>
      <c r="R43" s="21">
        <f>R42</f>
        <v>1.2</v>
      </c>
      <c r="S43" s="21">
        <f t="shared" si="25"/>
        <v>2.7</v>
      </c>
    </row>
    <row r="44" spans="3:19">
      <c r="C44" s="20">
        <f>C43</f>
        <v>2025.25</v>
      </c>
      <c r="D44" s="16">
        <f>D10</f>
        <v>0</v>
      </c>
      <c r="E44" s="16">
        <f t="shared" ref="E44:H44" si="30">E10</f>
        <v>0.10000000000000003</v>
      </c>
      <c r="F44" s="16">
        <f t="shared" si="30"/>
        <v>0.4</v>
      </c>
      <c r="G44" s="16">
        <f t="shared" si="30"/>
        <v>0</v>
      </c>
      <c r="H44" s="16">
        <f t="shared" si="30"/>
        <v>0.5</v>
      </c>
      <c r="M44" s="20">
        <f>M43</f>
        <v>2025.25</v>
      </c>
      <c r="N44" s="16">
        <f>N10</f>
        <v>1.2</v>
      </c>
      <c r="O44" s="16">
        <f t="shared" ref="O44:S44" si="31">O10</f>
        <v>0.45</v>
      </c>
      <c r="P44" s="16">
        <f t="shared" si="31"/>
        <v>1.05</v>
      </c>
      <c r="Q44" s="16">
        <f t="shared" si="31"/>
        <v>0</v>
      </c>
      <c r="R44" s="16">
        <f>R10</f>
        <v>1.2</v>
      </c>
      <c r="S44" s="16">
        <f t="shared" si="31"/>
        <v>2.7</v>
      </c>
    </row>
    <row r="45" spans="3:19">
      <c r="C45" s="20">
        <v>2025.5</v>
      </c>
      <c r="D45" s="21">
        <f>D44</f>
        <v>0</v>
      </c>
      <c r="E45" s="21">
        <f t="shared" si="21"/>
        <v>0.10000000000000003</v>
      </c>
      <c r="F45" s="21">
        <f t="shared" si="22"/>
        <v>0.4</v>
      </c>
      <c r="G45" s="21">
        <f t="shared" si="23"/>
        <v>0</v>
      </c>
      <c r="H45" s="21">
        <f t="shared" si="24"/>
        <v>0.5</v>
      </c>
      <c r="M45" s="20">
        <v>2025.5</v>
      </c>
      <c r="N45" s="21">
        <f>N44</f>
        <v>1.2</v>
      </c>
      <c r="O45" s="21">
        <f t="shared" si="25"/>
        <v>0.45</v>
      </c>
      <c r="P45" s="21">
        <f t="shared" si="25"/>
        <v>1.05</v>
      </c>
      <c r="Q45" s="21">
        <f t="shared" si="25"/>
        <v>0</v>
      </c>
      <c r="R45" s="21">
        <f>R44</f>
        <v>1.2</v>
      </c>
      <c r="S45" s="21">
        <f t="shared" si="25"/>
        <v>2.7</v>
      </c>
    </row>
    <row r="46" spans="3:19">
      <c r="C46" s="20">
        <f>C45</f>
        <v>2025.5</v>
      </c>
      <c r="D46" s="16">
        <f>D11</f>
        <v>0</v>
      </c>
      <c r="E46" s="16">
        <f t="shared" ref="E46:H46" si="32">E11</f>
        <v>0.10000000000000003</v>
      </c>
      <c r="F46" s="16">
        <f t="shared" si="32"/>
        <v>0.4</v>
      </c>
      <c r="G46" s="16">
        <f t="shared" si="32"/>
        <v>0</v>
      </c>
      <c r="H46" s="16">
        <f t="shared" si="32"/>
        <v>0.5</v>
      </c>
      <c r="M46" s="20">
        <f>M45</f>
        <v>2025.5</v>
      </c>
      <c r="N46" s="16">
        <f>N11</f>
        <v>1.2</v>
      </c>
      <c r="O46" s="16">
        <f t="shared" ref="O46:S46" si="33">O11</f>
        <v>0.45</v>
      </c>
      <c r="P46" s="16">
        <f t="shared" si="33"/>
        <v>1.05</v>
      </c>
      <c r="Q46" s="16">
        <f t="shared" si="33"/>
        <v>0</v>
      </c>
      <c r="R46" s="16">
        <f>R11</f>
        <v>1.2</v>
      </c>
      <c r="S46" s="16">
        <f t="shared" si="33"/>
        <v>2.7</v>
      </c>
    </row>
    <row r="47" spans="3:19">
      <c r="C47" s="20">
        <v>2025.75</v>
      </c>
      <c r="D47" s="21">
        <f>D46</f>
        <v>0</v>
      </c>
      <c r="E47" s="21">
        <f t="shared" si="21"/>
        <v>0.10000000000000003</v>
      </c>
      <c r="F47" s="21">
        <f t="shared" si="22"/>
        <v>0.4</v>
      </c>
      <c r="G47" s="21">
        <f t="shared" si="23"/>
        <v>0</v>
      </c>
      <c r="H47" s="21">
        <f t="shared" si="24"/>
        <v>0.5</v>
      </c>
      <c r="M47" s="20">
        <v>2025.75</v>
      </c>
      <c r="N47" s="21">
        <f>N46</f>
        <v>1.2</v>
      </c>
      <c r="O47" s="21">
        <f t="shared" si="25"/>
        <v>0.45</v>
      </c>
      <c r="P47" s="21">
        <f t="shared" si="25"/>
        <v>1.05</v>
      </c>
      <c r="Q47" s="21">
        <f t="shared" si="25"/>
        <v>0</v>
      </c>
      <c r="R47" s="21">
        <f>R46</f>
        <v>1.2</v>
      </c>
      <c r="S47" s="21">
        <f t="shared" si="25"/>
        <v>2.7</v>
      </c>
    </row>
    <row r="48" spans="3:19">
      <c r="C48" s="20">
        <f>C47</f>
        <v>2025.75</v>
      </c>
      <c r="D48" s="16">
        <f>D12</f>
        <v>0.8</v>
      </c>
      <c r="E48" s="16">
        <f t="shared" ref="E48:H48" si="34">E12</f>
        <v>0.10000000000000003</v>
      </c>
      <c r="F48" s="16">
        <f t="shared" si="34"/>
        <v>0.4</v>
      </c>
      <c r="G48" s="16">
        <f t="shared" si="34"/>
        <v>0</v>
      </c>
      <c r="H48" s="16">
        <f t="shared" si="34"/>
        <v>1.3000000000000003</v>
      </c>
      <c r="M48" s="20">
        <f>M47</f>
        <v>2025.75</v>
      </c>
      <c r="N48" s="16">
        <f>N12</f>
        <v>2</v>
      </c>
      <c r="O48" s="16">
        <f t="shared" ref="O48:S48" si="35">O12</f>
        <v>0.45</v>
      </c>
      <c r="P48" s="16">
        <f t="shared" si="35"/>
        <v>1.05</v>
      </c>
      <c r="Q48" s="16">
        <f t="shared" si="35"/>
        <v>0</v>
      </c>
      <c r="R48" s="16">
        <f>R12</f>
        <v>2</v>
      </c>
      <c r="S48" s="16">
        <f t="shared" si="35"/>
        <v>3.5</v>
      </c>
    </row>
    <row r="49" spans="3:19">
      <c r="C49" s="20">
        <v>2026</v>
      </c>
      <c r="D49" s="21">
        <f>D48</f>
        <v>0.8</v>
      </c>
      <c r="E49" s="21">
        <f t="shared" si="21"/>
        <v>0.10000000000000003</v>
      </c>
      <c r="F49" s="21">
        <f t="shared" si="22"/>
        <v>0.4</v>
      </c>
      <c r="G49" s="21">
        <f t="shared" si="23"/>
        <v>0</v>
      </c>
      <c r="H49" s="21">
        <f t="shared" si="24"/>
        <v>1.3000000000000003</v>
      </c>
      <c r="M49" s="20">
        <v>2026</v>
      </c>
      <c r="N49" s="21">
        <f>N48</f>
        <v>2</v>
      </c>
      <c r="O49" s="21">
        <f t="shared" si="25"/>
        <v>0.45</v>
      </c>
      <c r="P49" s="21">
        <f t="shared" si="25"/>
        <v>1.05</v>
      </c>
      <c r="Q49" s="21">
        <f t="shared" si="25"/>
        <v>0</v>
      </c>
      <c r="R49" s="21">
        <f>R48</f>
        <v>2</v>
      </c>
      <c r="S49" s="21">
        <f t="shared" si="25"/>
        <v>3.5</v>
      </c>
    </row>
    <row r="50" spans="3:19">
      <c r="C50" s="20">
        <f>C49</f>
        <v>2026</v>
      </c>
      <c r="D50" s="16">
        <f>D13</f>
        <v>0.8</v>
      </c>
      <c r="E50" s="16">
        <f t="shared" ref="E50:H50" si="36">E13</f>
        <v>0.10000000000000003</v>
      </c>
      <c r="F50" s="16">
        <f t="shared" si="36"/>
        <v>0.4</v>
      </c>
      <c r="G50" s="16">
        <f t="shared" si="36"/>
        <v>0</v>
      </c>
      <c r="H50" s="16">
        <f t="shared" si="36"/>
        <v>1.3000000000000003</v>
      </c>
      <c r="M50" s="20">
        <f>M49</f>
        <v>2026</v>
      </c>
      <c r="N50" s="16">
        <f>N13</f>
        <v>2</v>
      </c>
      <c r="O50" s="16">
        <f t="shared" ref="O50:S50" si="37">O13</f>
        <v>0.45</v>
      </c>
      <c r="P50" s="16">
        <f t="shared" si="37"/>
        <v>1.05</v>
      </c>
      <c r="Q50" s="16">
        <f t="shared" si="37"/>
        <v>0</v>
      </c>
      <c r="R50" s="16">
        <f>R13</f>
        <v>2</v>
      </c>
      <c r="S50" s="16">
        <f t="shared" si="37"/>
        <v>3.5</v>
      </c>
    </row>
    <row r="51" spans="3:19">
      <c r="C51" s="20">
        <v>2026.25</v>
      </c>
      <c r="D51" s="21">
        <f>D50</f>
        <v>0.8</v>
      </c>
      <c r="E51" s="21">
        <f t="shared" si="21"/>
        <v>0.10000000000000003</v>
      </c>
      <c r="F51" s="21">
        <f t="shared" si="22"/>
        <v>0.4</v>
      </c>
      <c r="G51" s="21">
        <f t="shared" si="23"/>
        <v>0</v>
      </c>
      <c r="H51" s="21">
        <f t="shared" si="24"/>
        <v>1.3000000000000003</v>
      </c>
      <c r="M51" s="20">
        <v>2026.25</v>
      </c>
      <c r="N51" s="21">
        <f>N50</f>
        <v>2</v>
      </c>
      <c r="O51" s="21">
        <f t="shared" si="25"/>
        <v>0.45</v>
      </c>
      <c r="P51" s="21">
        <f t="shared" si="25"/>
        <v>1.05</v>
      </c>
      <c r="Q51" s="21">
        <f t="shared" si="25"/>
        <v>0</v>
      </c>
      <c r="R51" s="21">
        <f>R50</f>
        <v>2</v>
      </c>
      <c r="S51" s="21">
        <f t="shared" si="25"/>
        <v>3.5</v>
      </c>
    </row>
    <row r="52" spans="3:19">
      <c r="C52" s="20">
        <f>C51</f>
        <v>2026.25</v>
      </c>
      <c r="D52" s="16">
        <f>D14</f>
        <v>0.8</v>
      </c>
      <c r="E52" s="16">
        <f t="shared" ref="E52:H52" si="38">E14</f>
        <v>0.10000000000000003</v>
      </c>
      <c r="F52" s="16">
        <f t="shared" si="38"/>
        <v>0.4</v>
      </c>
      <c r="G52" s="16">
        <f t="shared" si="38"/>
        <v>0</v>
      </c>
      <c r="H52" s="16">
        <f t="shared" si="38"/>
        <v>1.3000000000000003</v>
      </c>
      <c r="M52" s="20">
        <f>M51</f>
        <v>2026.25</v>
      </c>
      <c r="N52" s="16">
        <f>N14</f>
        <v>2</v>
      </c>
      <c r="O52" s="16">
        <f t="shared" ref="O52:S52" si="39">O14</f>
        <v>0.45</v>
      </c>
      <c r="P52" s="16">
        <f t="shared" si="39"/>
        <v>1.05</v>
      </c>
      <c r="Q52" s="16">
        <f t="shared" si="39"/>
        <v>0</v>
      </c>
      <c r="R52" s="16">
        <f>R14</f>
        <v>2</v>
      </c>
      <c r="S52" s="16">
        <f t="shared" si="39"/>
        <v>3.5</v>
      </c>
    </row>
    <row r="53" spans="3:19">
      <c r="C53" s="20">
        <v>2026.5</v>
      </c>
      <c r="D53" s="21">
        <f>D52</f>
        <v>0.8</v>
      </c>
      <c r="E53" s="21">
        <f t="shared" si="21"/>
        <v>0.10000000000000003</v>
      </c>
      <c r="F53" s="21">
        <f t="shared" si="22"/>
        <v>0.4</v>
      </c>
      <c r="G53" s="21">
        <f t="shared" si="23"/>
        <v>0</v>
      </c>
      <c r="H53" s="21">
        <f t="shared" si="24"/>
        <v>1.3000000000000003</v>
      </c>
      <c r="M53" s="20">
        <v>2026.5</v>
      </c>
      <c r="N53" s="21">
        <f>N52</f>
        <v>2</v>
      </c>
      <c r="O53" s="21">
        <f t="shared" si="25"/>
        <v>0.45</v>
      </c>
      <c r="P53" s="21">
        <f t="shared" si="25"/>
        <v>1.05</v>
      </c>
      <c r="Q53" s="21">
        <f t="shared" si="25"/>
        <v>0</v>
      </c>
      <c r="R53" s="21">
        <f>R52</f>
        <v>2</v>
      </c>
      <c r="S53" s="21">
        <f t="shared" si="25"/>
        <v>3.5</v>
      </c>
    </row>
    <row r="54" spans="3:19">
      <c r="C54" s="20">
        <f>C53</f>
        <v>2026.5</v>
      </c>
      <c r="D54" s="16">
        <f>D15</f>
        <v>0.8</v>
      </c>
      <c r="E54" s="16">
        <f t="shared" ref="E54:H54" si="40">E15</f>
        <v>0.10000000000000003</v>
      </c>
      <c r="F54" s="16">
        <f t="shared" si="40"/>
        <v>0.4</v>
      </c>
      <c r="G54" s="16">
        <f t="shared" si="40"/>
        <v>0</v>
      </c>
      <c r="H54" s="16">
        <f t="shared" si="40"/>
        <v>1.3000000000000003</v>
      </c>
      <c r="M54" s="20">
        <f>M53</f>
        <v>2026.5</v>
      </c>
      <c r="N54" s="16">
        <f>N15</f>
        <v>2</v>
      </c>
      <c r="O54" s="16">
        <f t="shared" ref="O54:S54" si="41">O15</f>
        <v>0.45</v>
      </c>
      <c r="P54" s="16">
        <f t="shared" si="41"/>
        <v>1.05</v>
      </c>
      <c r="Q54" s="16">
        <f t="shared" si="41"/>
        <v>0</v>
      </c>
      <c r="R54" s="16">
        <f>R15</f>
        <v>2</v>
      </c>
      <c r="S54" s="16">
        <f t="shared" si="41"/>
        <v>3.5</v>
      </c>
    </row>
    <row r="55" spans="3:19">
      <c r="C55" s="20">
        <v>2026.75</v>
      </c>
      <c r="D55" s="21">
        <f>D54</f>
        <v>0.8</v>
      </c>
      <c r="E55" s="21">
        <f t="shared" si="21"/>
        <v>0.10000000000000003</v>
      </c>
      <c r="F55" s="21">
        <f t="shared" si="22"/>
        <v>0.4</v>
      </c>
      <c r="G55" s="21">
        <f t="shared" si="23"/>
        <v>0</v>
      </c>
      <c r="H55" s="21">
        <f t="shared" si="24"/>
        <v>1.3000000000000003</v>
      </c>
      <c r="M55" s="20">
        <v>2026.75</v>
      </c>
      <c r="N55" s="21">
        <f>N54</f>
        <v>2</v>
      </c>
      <c r="O55" s="21">
        <f t="shared" ref="O55:S69" si="42">O54</f>
        <v>0.45</v>
      </c>
      <c r="P55" s="21">
        <f t="shared" si="42"/>
        <v>1.05</v>
      </c>
      <c r="Q55" s="21">
        <f t="shared" si="42"/>
        <v>0</v>
      </c>
      <c r="R55" s="21">
        <f>R54</f>
        <v>2</v>
      </c>
      <c r="S55" s="21">
        <f t="shared" si="42"/>
        <v>3.5</v>
      </c>
    </row>
    <row r="56" spans="3:19">
      <c r="C56" s="20">
        <f>C55</f>
        <v>2026.75</v>
      </c>
      <c r="D56" s="16">
        <f>D16</f>
        <v>0.8</v>
      </c>
      <c r="E56" s="16">
        <f t="shared" ref="E56:H56" si="43">E16</f>
        <v>0.10000000000000003</v>
      </c>
      <c r="F56" s="16">
        <f t="shared" si="43"/>
        <v>0.4</v>
      </c>
      <c r="G56" s="16">
        <f t="shared" si="43"/>
        <v>0</v>
      </c>
      <c r="H56" s="16">
        <f t="shared" si="43"/>
        <v>1.3000000000000003</v>
      </c>
      <c r="M56" s="20">
        <f>M55</f>
        <v>2026.75</v>
      </c>
      <c r="N56" s="16">
        <f>N16</f>
        <v>2</v>
      </c>
      <c r="O56" s="16">
        <f t="shared" ref="O56:S56" si="44">O16</f>
        <v>0.45</v>
      </c>
      <c r="P56" s="16">
        <f t="shared" si="44"/>
        <v>1.05</v>
      </c>
      <c r="Q56" s="16">
        <f t="shared" si="44"/>
        <v>0</v>
      </c>
      <c r="R56" s="16">
        <f>R16</f>
        <v>2</v>
      </c>
      <c r="S56" s="16">
        <f t="shared" si="44"/>
        <v>3.5</v>
      </c>
    </row>
    <row r="57" spans="3:19">
      <c r="C57" s="20">
        <v>2027</v>
      </c>
      <c r="D57" s="21">
        <f>D56</f>
        <v>0.8</v>
      </c>
      <c r="E57" s="21">
        <f t="shared" si="21"/>
        <v>0.10000000000000003</v>
      </c>
      <c r="F57" s="21">
        <f t="shared" si="22"/>
        <v>0.4</v>
      </c>
      <c r="G57" s="21">
        <f t="shared" si="23"/>
        <v>0</v>
      </c>
      <c r="H57" s="21">
        <f t="shared" si="24"/>
        <v>1.3000000000000003</v>
      </c>
      <c r="M57" s="20">
        <v>2027</v>
      </c>
      <c r="N57" s="21">
        <f>N56</f>
        <v>2</v>
      </c>
      <c r="O57" s="21">
        <f t="shared" si="42"/>
        <v>0.45</v>
      </c>
      <c r="P57" s="21">
        <f t="shared" si="42"/>
        <v>1.05</v>
      </c>
      <c r="Q57" s="21">
        <f t="shared" si="42"/>
        <v>0</v>
      </c>
      <c r="R57" s="21">
        <f>R56</f>
        <v>2</v>
      </c>
      <c r="S57" s="21">
        <f t="shared" si="42"/>
        <v>3.5</v>
      </c>
    </row>
    <row r="58" spans="3:19">
      <c r="C58" s="20">
        <f>C57</f>
        <v>2027</v>
      </c>
      <c r="D58" s="16">
        <f>D17</f>
        <v>1.35</v>
      </c>
      <c r="E58" s="16">
        <f t="shared" ref="E58:H58" si="45">E17</f>
        <v>0.10000000000000003</v>
      </c>
      <c r="F58" s="16">
        <f t="shared" si="45"/>
        <v>0.4</v>
      </c>
      <c r="G58" s="16">
        <f t="shared" si="45"/>
        <v>0</v>
      </c>
      <c r="H58" s="16">
        <f t="shared" si="45"/>
        <v>1.85</v>
      </c>
      <c r="M58" s="20">
        <f>M57</f>
        <v>2027</v>
      </c>
      <c r="N58" s="16">
        <f>N17</f>
        <v>2</v>
      </c>
      <c r="O58" s="16">
        <f t="shared" ref="O58:S58" si="46">O17</f>
        <v>0.45</v>
      </c>
      <c r="P58" s="16">
        <f t="shared" si="46"/>
        <v>1.05</v>
      </c>
      <c r="Q58" s="16">
        <f t="shared" si="46"/>
        <v>0</v>
      </c>
      <c r="R58" s="16">
        <f>R17</f>
        <v>2</v>
      </c>
      <c r="S58" s="16">
        <f t="shared" si="46"/>
        <v>3.5</v>
      </c>
    </row>
    <row r="59" spans="3:19">
      <c r="C59" s="20">
        <v>2027.25</v>
      </c>
      <c r="D59" s="21">
        <f>D58</f>
        <v>1.35</v>
      </c>
      <c r="E59" s="21">
        <f t="shared" si="21"/>
        <v>0.10000000000000003</v>
      </c>
      <c r="F59" s="21">
        <f t="shared" si="22"/>
        <v>0.4</v>
      </c>
      <c r="G59" s="21">
        <f t="shared" si="23"/>
        <v>0</v>
      </c>
      <c r="H59" s="21">
        <f t="shared" si="24"/>
        <v>1.85</v>
      </c>
      <c r="M59" s="20">
        <v>2027.25</v>
      </c>
      <c r="N59" s="21">
        <f>N58</f>
        <v>2</v>
      </c>
      <c r="O59" s="21">
        <f t="shared" si="42"/>
        <v>0.45</v>
      </c>
      <c r="P59" s="21">
        <f t="shared" si="42"/>
        <v>1.05</v>
      </c>
      <c r="Q59" s="21">
        <f t="shared" si="42"/>
        <v>0</v>
      </c>
      <c r="R59" s="21">
        <f>R58</f>
        <v>2</v>
      </c>
      <c r="S59" s="21">
        <f t="shared" si="42"/>
        <v>3.5</v>
      </c>
    </row>
    <row r="60" spans="3:19">
      <c r="C60" s="20">
        <f>C59</f>
        <v>2027.25</v>
      </c>
      <c r="D60" s="16">
        <f>D18</f>
        <v>1.35</v>
      </c>
      <c r="E60" s="16">
        <f t="shared" ref="E60:H60" si="47">E18</f>
        <v>0.10000000000000003</v>
      </c>
      <c r="F60" s="16">
        <f t="shared" si="47"/>
        <v>0.4</v>
      </c>
      <c r="G60" s="16">
        <f t="shared" si="47"/>
        <v>5</v>
      </c>
      <c r="H60" s="16">
        <f t="shared" si="47"/>
        <v>6.85</v>
      </c>
      <c r="M60" s="20">
        <f>M59</f>
        <v>2027.25</v>
      </c>
      <c r="N60" s="16">
        <f>N18</f>
        <v>2</v>
      </c>
      <c r="O60" s="16">
        <f t="shared" ref="O60:S60" si="48">O18</f>
        <v>0.45</v>
      </c>
      <c r="P60" s="16">
        <f t="shared" si="48"/>
        <v>1.05</v>
      </c>
      <c r="Q60" s="16">
        <f t="shared" si="48"/>
        <v>5</v>
      </c>
      <c r="R60" s="16">
        <f>R18</f>
        <v>7</v>
      </c>
      <c r="S60" s="16">
        <f t="shared" si="48"/>
        <v>8.5</v>
      </c>
    </row>
    <row r="61" spans="3:19">
      <c r="C61" s="20">
        <v>2027.5</v>
      </c>
      <c r="D61" s="21">
        <f>D60</f>
        <v>1.35</v>
      </c>
      <c r="E61" s="21">
        <f t="shared" si="21"/>
        <v>0.10000000000000003</v>
      </c>
      <c r="F61" s="21">
        <f t="shared" si="22"/>
        <v>0.4</v>
      </c>
      <c r="G61" s="21">
        <f t="shared" si="23"/>
        <v>5</v>
      </c>
      <c r="H61" s="21">
        <f t="shared" si="24"/>
        <v>6.85</v>
      </c>
      <c r="M61" s="20">
        <v>2027.5</v>
      </c>
      <c r="N61" s="21">
        <f>N60</f>
        <v>2</v>
      </c>
      <c r="O61" s="21">
        <f t="shared" si="42"/>
        <v>0.45</v>
      </c>
      <c r="P61" s="21">
        <f t="shared" si="42"/>
        <v>1.05</v>
      </c>
      <c r="Q61" s="21">
        <f t="shared" si="42"/>
        <v>5</v>
      </c>
      <c r="R61" s="21">
        <f>R60</f>
        <v>7</v>
      </c>
      <c r="S61" s="21">
        <f t="shared" si="42"/>
        <v>8.5</v>
      </c>
    </row>
    <row r="62" spans="3:19">
      <c r="C62" s="20">
        <f>C61</f>
        <v>2027.5</v>
      </c>
      <c r="D62" s="16">
        <f>D19</f>
        <v>1.35</v>
      </c>
      <c r="E62" s="16">
        <f t="shared" ref="E62:H62" si="49">E19</f>
        <v>0.10000000000000003</v>
      </c>
      <c r="F62" s="16">
        <f t="shared" si="49"/>
        <v>0.4</v>
      </c>
      <c r="G62" s="16">
        <f t="shared" si="49"/>
        <v>5</v>
      </c>
      <c r="H62" s="16">
        <f t="shared" si="49"/>
        <v>6.85</v>
      </c>
      <c r="M62" s="20">
        <f>M61</f>
        <v>2027.5</v>
      </c>
      <c r="N62" s="16">
        <f>N19</f>
        <v>2</v>
      </c>
      <c r="O62" s="16">
        <f t="shared" ref="O62:S62" si="50">O19</f>
        <v>0.45</v>
      </c>
      <c r="P62" s="16">
        <f t="shared" si="50"/>
        <v>1.05</v>
      </c>
      <c r="Q62" s="16">
        <f t="shared" si="50"/>
        <v>5</v>
      </c>
      <c r="R62" s="16">
        <f>R19</f>
        <v>7</v>
      </c>
      <c r="S62" s="16">
        <f t="shared" si="50"/>
        <v>8.5</v>
      </c>
    </row>
    <row r="63" spans="3:19">
      <c r="C63" s="20">
        <v>2027.75</v>
      </c>
      <c r="D63" s="21">
        <f>D62</f>
        <v>1.35</v>
      </c>
      <c r="E63" s="21">
        <f t="shared" si="21"/>
        <v>0.10000000000000003</v>
      </c>
      <c r="F63" s="21">
        <f t="shared" si="22"/>
        <v>0.4</v>
      </c>
      <c r="G63" s="21">
        <f t="shared" si="23"/>
        <v>5</v>
      </c>
      <c r="H63" s="21">
        <f t="shared" si="24"/>
        <v>6.85</v>
      </c>
      <c r="M63" s="20">
        <v>2027.75</v>
      </c>
      <c r="N63" s="21">
        <f>N62</f>
        <v>2</v>
      </c>
      <c r="O63" s="21">
        <f t="shared" si="42"/>
        <v>0.45</v>
      </c>
      <c r="P63" s="21">
        <f t="shared" si="42"/>
        <v>1.05</v>
      </c>
      <c r="Q63" s="21">
        <f t="shared" si="42"/>
        <v>5</v>
      </c>
      <c r="R63" s="21">
        <f>R62</f>
        <v>7</v>
      </c>
      <c r="S63" s="21">
        <f t="shared" si="42"/>
        <v>8.5</v>
      </c>
    </row>
    <row r="64" spans="3:19">
      <c r="C64" s="20">
        <f>C63</f>
        <v>2027.75</v>
      </c>
      <c r="D64" s="16">
        <f>D20</f>
        <v>1.35</v>
      </c>
      <c r="E64" s="16">
        <f t="shared" ref="E64:H64" si="51">E20</f>
        <v>0.10000000000000003</v>
      </c>
      <c r="F64" s="16">
        <f t="shared" si="51"/>
        <v>0.4</v>
      </c>
      <c r="G64" s="16">
        <f t="shared" si="51"/>
        <v>5</v>
      </c>
      <c r="H64" s="16">
        <f t="shared" si="51"/>
        <v>6.85</v>
      </c>
      <c r="M64" s="20">
        <f>M63</f>
        <v>2027.75</v>
      </c>
      <c r="N64" s="16">
        <f>N20</f>
        <v>2</v>
      </c>
      <c r="O64" s="16">
        <f t="shared" ref="O64:S64" si="52">O20</f>
        <v>0.45</v>
      </c>
      <c r="P64" s="16">
        <f t="shared" si="52"/>
        <v>1.05</v>
      </c>
      <c r="Q64" s="16">
        <f t="shared" si="52"/>
        <v>5</v>
      </c>
      <c r="R64" s="16">
        <f>R20</f>
        <v>7</v>
      </c>
      <c r="S64" s="16">
        <f t="shared" si="52"/>
        <v>8.5</v>
      </c>
    </row>
    <row r="65" spans="3:19">
      <c r="C65" s="20">
        <v>2028</v>
      </c>
      <c r="D65" s="21">
        <f>D64</f>
        <v>1.35</v>
      </c>
      <c r="E65" s="21">
        <f t="shared" si="21"/>
        <v>0.10000000000000003</v>
      </c>
      <c r="F65" s="21">
        <f t="shared" si="22"/>
        <v>0.4</v>
      </c>
      <c r="G65" s="21">
        <f t="shared" si="23"/>
        <v>5</v>
      </c>
      <c r="H65" s="21">
        <f t="shared" si="24"/>
        <v>6.85</v>
      </c>
      <c r="M65" s="20">
        <v>2028</v>
      </c>
      <c r="N65" s="21">
        <f>N64</f>
        <v>2</v>
      </c>
      <c r="O65" s="21">
        <f t="shared" si="42"/>
        <v>0.45</v>
      </c>
      <c r="P65" s="21">
        <f t="shared" si="42"/>
        <v>1.05</v>
      </c>
      <c r="Q65" s="21">
        <f t="shared" si="42"/>
        <v>5</v>
      </c>
      <c r="R65" s="21">
        <f>R64</f>
        <v>7</v>
      </c>
      <c r="S65" s="21">
        <f t="shared" si="42"/>
        <v>8.5</v>
      </c>
    </row>
    <row r="66" spans="3:19">
      <c r="C66" s="20">
        <f>C65</f>
        <v>2028</v>
      </c>
      <c r="D66" s="16">
        <f>D21</f>
        <v>1.55</v>
      </c>
      <c r="E66" s="16">
        <f t="shared" ref="E66:H66" si="53">E21</f>
        <v>0.10000000000000003</v>
      </c>
      <c r="F66" s="16">
        <f t="shared" si="53"/>
        <v>2.2000000000000002</v>
      </c>
      <c r="G66" s="16">
        <f t="shared" si="53"/>
        <v>5</v>
      </c>
      <c r="H66" s="16">
        <f t="shared" si="53"/>
        <v>8.8500000000000014</v>
      </c>
      <c r="M66" s="20">
        <f>M65</f>
        <v>2028</v>
      </c>
      <c r="N66" s="16">
        <f>N21</f>
        <v>2</v>
      </c>
      <c r="O66" s="16">
        <f t="shared" ref="O66:S66" si="54">O21</f>
        <v>0.45</v>
      </c>
      <c r="P66" s="16">
        <f t="shared" si="54"/>
        <v>2.85</v>
      </c>
      <c r="Q66" s="16">
        <f t="shared" si="54"/>
        <v>5</v>
      </c>
      <c r="R66" s="16">
        <f>R21</f>
        <v>7</v>
      </c>
      <c r="S66" s="16">
        <f t="shared" si="54"/>
        <v>10.3</v>
      </c>
    </row>
    <row r="67" spans="3:19">
      <c r="C67" s="20">
        <v>2028.25</v>
      </c>
      <c r="D67" s="21">
        <f>D66</f>
        <v>1.55</v>
      </c>
      <c r="E67" s="21">
        <f t="shared" si="21"/>
        <v>0.10000000000000003</v>
      </c>
      <c r="F67" s="21">
        <f t="shared" si="22"/>
        <v>2.2000000000000002</v>
      </c>
      <c r="G67" s="21">
        <f t="shared" si="23"/>
        <v>5</v>
      </c>
      <c r="H67" s="21">
        <f t="shared" si="24"/>
        <v>8.8500000000000014</v>
      </c>
      <c r="M67" s="20">
        <v>2028.25</v>
      </c>
      <c r="N67" s="21">
        <f>N66</f>
        <v>2</v>
      </c>
      <c r="O67" s="21">
        <f t="shared" si="42"/>
        <v>0.45</v>
      </c>
      <c r="P67" s="21">
        <f t="shared" si="42"/>
        <v>2.85</v>
      </c>
      <c r="Q67" s="21">
        <f t="shared" si="42"/>
        <v>5</v>
      </c>
      <c r="R67" s="21">
        <f>R66</f>
        <v>7</v>
      </c>
      <c r="S67" s="21">
        <f t="shared" si="42"/>
        <v>10.3</v>
      </c>
    </row>
    <row r="68" spans="3:19">
      <c r="C68" s="20">
        <f>C67</f>
        <v>2028.25</v>
      </c>
      <c r="D68" s="16">
        <f>D22</f>
        <v>1.35</v>
      </c>
      <c r="E68" s="16">
        <f t="shared" ref="E68:H68" si="55">E22</f>
        <v>0</v>
      </c>
      <c r="F68" s="16">
        <f t="shared" si="55"/>
        <v>2.2000000000000002</v>
      </c>
      <c r="G68" s="16">
        <f t="shared" si="55"/>
        <v>5</v>
      </c>
      <c r="H68" s="16">
        <f t="shared" si="55"/>
        <v>8.5500000000000007</v>
      </c>
      <c r="M68" s="20">
        <f>M67</f>
        <v>2028.25</v>
      </c>
      <c r="N68" s="16">
        <f>N22</f>
        <v>2</v>
      </c>
      <c r="O68" s="16">
        <f t="shared" ref="O68:S68" si="56">O22</f>
        <v>0</v>
      </c>
      <c r="P68" s="16">
        <f t="shared" si="56"/>
        <v>2.85</v>
      </c>
      <c r="Q68" s="16">
        <f t="shared" si="56"/>
        <v>5</v>
      </c>
      <c r="R68" s="16">
        <f>R22</f>
        <v>7</v>
      </c>
      <c r="S68" s="16">
        <f t="shared" si="56"/>
        <v>9.85</v>
      </c>
    </row>
    <row r="69" spans="3:19">
      <c r="C69" s="20">
        <v>2028.5</v>
      </c>
      <c r="D69" s="21">
        <f>D68</f>
        <v>1.35</v>
      </c>
      <c r="E69" s="21">
        <f t="shared" si="21"/>
        <v>0</v>
      </c>
      <c r="F69" s="21">
        <f t="shared" si="22"/>
        <v>2.2000000000000002</v>
      </c>
      <c r="G69" s="21">
        <f t="shared" si="23"/>
        <v>5</v>
      </c>
      <c r="H69" s="21">
        <f t="shared" si="24"/>
        <v>8.5500000000000007</v>
      </c>
      <c r="M69" s="20">
        <v>2028.5</v>
      </c>
      <c r="N69" s="21">
        <f>N68</f>
        <v>2</v>
      </c>
      <c r="O69" s="21">
        <f t="shared" si="42"/>
        <v>0</v>
      </c>
      <c r="P69" s="21">
        <f t="shared" si="42"/>
        <v>2.85</v>
      </c>
      <c r="Q69" s="21">
        <f t="shared" si="42"/>
        <v>5</v>
      </c>
      <c r="R69" s="21">
        <f>R68</f>
        <v>7</v>
      </c>
      <c r="S69" s="21">
        <f t="shared" si="42"/>
        <v>9.85</v>
      </c>
    </row>
    <row r="70" spans="3:19">
      <c r="C70" s="20">
        <f>C69</f>
        <v>2028.5</v>
      </c>
      <c r="D70" s="16">
        <f>D23</f>
        <v>1.35</v>
      </c>
      <c r="E70" s="16">
        <f t="shared" ref="E70:H70" si="57">E23</f>
        <v>0</v>
      </c>
      <c r="F70" s="16">
        <f t="shared" si="57"/>
        <v>2.2000000000000002</v>
      </c>
      <c r="G70" s="16">
        <f t="shared" si="57"/>
        <v>5</v>
      </c>
      <c r="H70" s="16">
        <f t="shared" si="57"/>
        <v>8.5500000000000007</v>
      </c>
      <c r="M70" s="20">
        <f>M69</f>
        <v>2028.5</v>
      </c>
      <c r="N70" s="16">
        <f>N23</f>
        <v>2</v>
      </c>
      <c r="O70" s="16">
        <f t="shared" ref="O70:S70" si="58">O23</f>
        <v>0</v>
      </c>
      <c r="P70" s="16">
        <f t="shared" si="58"/>
        <v>2.85</v>
      </c>
      <c r="Q70" s="16">
        <f t="shared" si="58"/>
        <v>5</v>
      </c>
      <c r="R70" s="16">
        <f>R23</f>
        <v>7</v>
      </c>
      <c r="S70" s="16">
        <f t="shared" si="58"/>
        <v>9.85</v>
      </c>
    </row>
    <row r="71" spans="3:19">
      <c r="C71" s="20">
        <v>2028.75</v>
      </c>
      <c r="D71" s="21">
        <f>D70</f>
        <v>1.35</v>
      </c>
      <c r="E71" s="21">
        <f>E70</f>
        <v>0</v>
      </c>
      <c r="F71" s="21">
        <f>F70</f>
        <v>2.2000000000000002</v>
      </c>
      <c r="G71" s="21">
        <f>G70</f>
        <v>5</v>
      </c>
      <c r="H71" s="21">
        <f>H70</f>
        <v>8.5500000000000007</v>
      </c>
      <c r="M71" s="20">
        <v>2028.75</v>
      </c>
      <c r="N71" s="21">
        <f t="shared" ref="N71:S71" si="59">N70</f>
        <v>2</v>
      </c>
      <c r="O71" s="21">
        <f t="shared" si="59"/>
        <v>0</v>
      </c>
      <c r="P71" s="21">
        <f t="shared" si="59"/>
        <v>2.85</v>
      </c>
      <c r="Q71" s="21">
        <f t="shared" si="59"/>
        <v>5</v>
      </c>
      <c r="R71" s="21">
        <f t="shared" si="59"/>
        <v>7</v>
      </c>
      <c r="S71" s="21">
        <f t="shared" si="59"/>
        <v>9.85</v>
      </c>
    </row>
    <row r="72" spans="3:19">
      <c r="C72" s="20">
        <f>C71</f>
        <v>2028.75</v>
      </c>
      <c r="D72" s="16">
        <f>D24</f>
        <v>1.35</v>
      </c>
      <c r="E72" s="16">
        <f t="shared" ref="E72:H72" si="60">E24</f>
        <v>0</v>
      </c>
      <c r="F72" s="16">
        <f t="shared" si="60"/>
        <v>2.2000000000000002</v>
      </c>
      <c r="G72" s="16">
        <f t="shared" si="60"/>
        <v>5</v>
      </c>
      <c r="H72" s="16">
        <f t="shared" si="60"/>
        <v>8.5500000000000007</v>
      </c>
      <c r="M72" s="20">
        <f>M71</f>
        <v>2028.75</v>
      </c>
      <c r="N72" s="16">
        <f>N24</f>
        <v>2</v>
      </c>
      <c r="O72" s="16">
        <f t="shared" ref="O72:S72" si="61">O24</f>
        <v>0</v>
      </c>
      <c r="P72" s="16">
        <f t="shared" si="61"/>
        <v>2.85</v>
      </c>
      <c r="Q72" s="16">
        <f t="shared" si="61"/>
        <v>5</v>
      </c>
      <c r="R72" s="16">
        <f>R24</f>
        <v>7</v>
      </c>
      <c r="S72" s="16">
        <f t="shared" si="61"/>
        <v>9.85</v>
      </c>
    </row>
    <row r="73" spans="3:19">
      <c r="C73" s="20">
        <v>2029</v>
      </c>
      <c r="D73" s="21">
        <f>D72</f>
        <v>1.35</v>
      </c>
      <c r="E73" s="21">
        <f t="shared" si="21"/>
        <v>0</v>
      </c>
      <c r="F73" s="21">
        <f t="shared" si="22"/>
        <v>2.2000000000000002</v>
      </c>
      <c r="G73" s="21">
        <f t="shared" si="23"/>
        <v>5</v>
      </c>
      <c r="H73" s="21">
        <f t="shared" si="24"/>
        <v>8.5500000000000007</v>
      </c>
      <c r="M73" s="20">
        <v>2029</v>
      </c>
      <c r="N73" s="21">
        <f>N72</f>
        <v>2</v>
      </c>
      <c r="O73" s="21">
        <f t="shared" ref="O73:S81" si="62">O72</f>
        <v>0</v>
      </c>
      <c r="P73" s="21">
        <f t="shared" si="62"/>
        <v>2.85</v>
      </c>
      <c r="Q73" s="21">
        <f t="shared" si="62"/>
        <v>5</v>
      </c>
      <c r="R73" s="21">
        <f>R72</f>
        <v>7</v>
      </c>
      <c r="S73" s="21">
        <f t="shared" si="62"/>
        <v>9.85</v>
      </c>
    </row>
    <row r="74" spans="3:19">
      <c r="C74" s="20">
        <f>C73</f>
        <v>2029</v>
      </c>
      <c r="D74" s="16">
        <f>D25</f>
        <v>1.35</v>
      </c>
      <c r="E74" s="16">
        <f t="shared" ref="E74:H74" si="63">E25</f>
        <v>0</v>
      </c>
      <c r="F74" s="16">
        <f t="shared" si="63"/>
        <v>2.2000000000000002</v>
      </c>
      <c r="G74" s="16">
        <f t="shared" si="63"/>
        <v>5</v>
      </c>
      <c r="H74" s="16">
        <f t="shared" si="63"/>
        <v>8.5500000000000007</v>
      </c>
      <c r="M74" s="20">
        <f>M73</f>
        <v>2029</v>
      </c>
      <c r="N74" s="16">
        <f>N25</f>
        <v>2</v>
      </c>
      <c r="O74" s="16">
        <f t="shared" ref="O74:S74" si="64">O25</f>
        <v>0</v>
      </c>
      <c r="P74" s="16">
        <f t="shared" si="64"/>
        <v>2.85</v>
      </c>
      <c r="Q74" s="16">
        <f t="shared" si="64"/>
        <v>5</v>
      </c>
      <c r="R74" s="16">
        <f>R25</f>
        <v>7</v>
      </c>
      <c r="S74" s="16">
        <f t="shared" si="64"/>
        <v>9.85</v>
      </c>
    </row>
    <row r="75" spans="3:19">
      <c r="C75" s="20">
        <v>2029.25</v>
      </c>
      <c r="D75" s="21">
        <f>D74</f>
        <v>1.35</v>
      </c>
      <c r="E75" s="21">
        <f t="shared" si="21"/>
        <v>0</v>
      </c>
      <c r="F75" s="21">
        <f t="shared" si="22"/>
        <v>2.2000000000000002</v>
      </c>
      <c r="G75" s="21">
        <f t="shared" si="23"/>
        <v>5</v>
      </c>
      <c r="H75" s="21">
        <f t="shared" si="24"/>
        <v>8.5500000000000007</v>
      </c>
      <c r="M75" s="20">
        <v>2029.25</v>
      </c>
      <c r="N75" s="21">
        <f>N74</f>
        <v>2</v>
      </c>
      <c r="O75" s="21">
        <f t="shared" si="62"/>
        <v>0</v>
      </c>
      <c r="P75" s="21">
        <f t="shared" si="62"/>
        <v>2.85</v>
      </c>
      <c r="Q75" s="21">
        <f t="shared" si="62"/>
        <v>5</v>
      </c>
      <c r="R75" s="21">
        <f>R74</f>
        <v>7</v>
      </c>
      <c r="S75" s="21">
        <f t="shared" si="62"/>
        <v>9.85</v>
      </c>
    </row>
    <row r="76" spans="3:19">
      <c r="C76" s="20">
        <f>C75</f>
        <v>2029.25</v>
      </c>
      <c r="D76" s="16">
        <f>D26</f>
        <v>1.35</v>
      </c>
      <c r="E76" s="16">
        <f t="shared" ref="E76:H76" si="65">E26</f>
        <v>0</v>
      </c>
      <c r="F76" s="16">
        <f t="shared" si="65"/>
        <v>2.2000000000000002</v>
      </c>
      <c r="G76" s="16">
        <f t="shared" si="65"/>
        <v>5</v>
      </c>
      <c r="H76" s="16">
        <f t="shared" si="65"/>
        <v>8.5500000000000007</v>
      </c>
      <c r="M76" s="20">
        <f>M75</f>
        <v>2029.25</v>
      </c>
      <c r="N76" s="16">
        <f>N26</f>
        <v>2</v>
      </c>
      <c r="O76" s="16">
        <f t="shared" ref="O76:S76" si="66">O26</f>
        <v>0</v>
      </c>
      <c r="P76" s="16">
        <f t="shared" si="66"/>
        <v>2.85</v>
      </c>
      <c r="Q76" s="16">
        <f t="shared" si="66"/>
        <v>5</v>
      </c>
      <c r="R76" s="16">
        <f>R26</f>
        <v>7</v>
      </c>
      <c r="S76" s="16">
        <f t="shared" si="66"/>
        <v>9.85</v>
      </c>
    </row>
    <row r="77" spans="3:19">
      <c r="C77" s="20">
        <v>2029.5</v>
      </c>
      <c r="D77" s="21">
        <f>D76</f>
        <v>1.35</v>
      </c>
      <c r="E77" s="21">
        <f t="shared" si="21"/>
        <v>0</v>
      </c>
      <c r="F77" s="21">
        <f t="shared" si="22"/>
        <v>2.2000000000000002</v>
      </c>
      <c r="G77" s="21">
        <f t="shared" si="23"/>
        <v>5</v>
      </c>
      <c r="H77" s="21">
        <f t="shared" si="24"/>
        <v>8.5500000000000007</v>
      </c>
      <c r="M77" s="20">
        <v>2029.5</v>
      </c>
      <c r="N77" s="21">
        <f>N76</f>
        <v>2</v>
      </c>
      <c r="O77" s="21">
        <f t="shared" si="62"/>
        <v>0</v>
      </c>
      <c r="P77" s="21">
        <f t="shared" si="62"/>
        <v>2.85</v>
      </c>
      <c r="Q77" s="21">
        <f t="shared" si="62"/>
        <v>5</v>
      </c>
      <c r="R77" s="21">
        <f>R76</f>
        <v>7</v>
      </c>
      <c r="S77" s="21">
        <f t="shared" si="62"/>
        <v>9.85</v>
      </c>
    </row>
    <row r="78" spans="3:19">
      <c r="C78" s="20">
        <f>C77</f>
        <v>2029.5</v>
      </c>
      <c r="D78" s="16">
        <f>D27</f>
        <v>1.35</v>
      </c>
      <c r="E78" s="16">
        <f t="shared" ref="E78:H78" si="67">E27</f>
        <v>0</v>
      </c>
      <c r="F78" s="16">
        <f t="shared" si="67"/>
        <v>2.2000000000000002</v>
      </c>
      <c r="G78" s="16">
        <f t="shared" si="67"/>
        <v>5</v>
      </c>
      <c r="H78" s="16">
        <f t="shared" si="67"/>
        <v>8.5500000000000007</v>
      </c>
      <c r="M78" s="20">
        <f>M77</f>
        <v>2029.5</v>
      </c>
      <c r="N78" s="16">
        <f>N27</f>
        <v>2</v>
      </c>
      <c r="O78" s="16">
        <f t="shared" ref="O78:S78" si="68">O27</f>
        <v>0</v>
      </c>
      <c r="P78" s="16">
        <f t="shared" si="68"/>
        <v>2.85</v>
      </c>
      <c r="Q78" s="16">
        <f t="shared" si="68"/>
        <v>5</v>
      </c>
      <c r="R78" s="16">
        <f>R27</f>
        <v>7</v>
      </c>
      <c r="S78" s="16">
        <f t="shared" si="68"/>
        <v>9.85</v>
      </c>
    </row>
    <row r="79" spans="3:19">
      <c r="C79" s="20">
        <v>2029.75</v>
      </c>
      <c r="D79" s="21">
        <f>D78</f>
        <v>1.35</v>
      </c>
      <c r="E79" s="21">
        <f t="shared" si="21"/>
        <v>0</v>
      </c>
      <c r="F79" s="21">
        <f t="shared" si="22"/>
        <v>2.2000000000000002</v>
      </c>
      <c r="G79" s="21">
        <f t="shared" si="23"/>
        <v>5</v>
      </c>
      <c r="H79" s="21">
        <f t="shared" si="24"/>
        <v>8.5500000000000007</v>
      </c>
      <c r="M79" s="20">
        <v>2029.75</v>
      </c>
      <c r="N79" s="21">
        <f>N78</f>
        <v>2</v>
      </c>
      <c r="O79" s="21">
        <f t="shared" si="62"/>
        <v>0</v>
      </c>
      <c r="P79" s="21">
        <f t="shared" si="62"/>
        <v>2.85</v>
      </c>
      <c r="Q79" s="21">
        <f t="shared" si="62"/>
        <v>5</v>
      </c>
      <c r="R79" s="21">
        <f>R78</f>
        <v>7</v>
      </c>
      <c r="S79" s="21">
        <f t="shared" si="62"/>
        <v>9.85</v>
      </c>
    </row>
    <row r="80" spans="3:19">
      <c r="C80" s="20">
        <f>C79</f>
        <v>2029.75</v>
      </c>
      <c r="D80" s="16">
        <f>D28</f>
        <v>1.35</v>
      </c>
      <c r="E80" s="16">
        <f t="shared" ref="E80:H80" si="69">E28</f>
        <v>0</v>
      </c>
      <c r="F80" s="16">
        <f t="shared" si="69"/>
        <v>2.2000000000000002</v>
      </c>
      <c r="G80" s="16">
        <f t="shared" si="69"/>
        <v>5</v>
      </c>
      <c r="H80" s="16">
        <f t="shared" si="69"/>
        <v>8.5500000000000007</v>
      </c>
      <c r="M80" s="20">
        <f>M79</f>
        <v>2029.75</v>
      </c>
      <c r="N80" s="16">
        <f>N28</f>
        <v>2</v>
      </c>
      <c r="O80" s="16">
        <f t="shared" ref="O80:S80" si="70">O28</f>
        <v>0</v>
      </c>
      <c r="P80" s="16">
        <f t="shared" si="70"/>
        <v>2.85</v>
      </c>
      <c r="Q80" s="16">
        <f t="shared" si="70"/>
        <v>5</v>
      </c>
      <c r="R80" s="16">
        <f>R28</f>
        <v>7</v>
      </c>
      <c r="S80" s="16">
        <f t="shared" si="70"/>
        <v>9.85</v>
      </c>
    </row>
    <row r="81" spans="3:19">
      <c r="C81" s="20">
        <v>2030</v>
      </c>
      <c r="D81" s="21">
        <f>D80</f>
        <v>1.35</v>
      </c>
      <c r="E81" s="21">
        <f t="shared" si="21"/>
        <v>0</v>
      </c>
      <c r="F81" s="21">
        <f t="shared" si="22"/>
        <v>2.2000000000000002</v>
      </c>
      <c r="G81" s="21">
        <f t="shared" si="23"/>
        <v>5</v>
      </c>
      <c r="H81" s="21">
        <f t="shared" si="24"/>
        <v>8.5500000000000007</v>
      </c>
      <c r="M81" s="20">
        <v>2030</v>
      </c>
      <c r="N81" s="21">
        <f>N80</f>
        <v>2</v>
      </c>
      <c r="O81" s="21">
        <f t="shared" si="62"/>
        <v>0</v>
      </c>
      <c r="P81" s="21">
        <f t="shared" si="62"/>
        <v>2.85</v>
      </c>
      <c r="Q81" s="21">
        <f t="shared" si="62"/>
        <v>5</v>
      </c>
      <c r="R81" s="21">
        <f>R80</f>
        <v>7</v>
      </c>
      <c r="S81" s="21">
        <f t="shared" si="62"/>
        <v>9.85</v>
      </c>
    </row>
  </sheetData>
  <mergeCells count="6">
    <mergeCell ref="C33:H33"/>
    <mergeCell ref="I3:M3"/>
    <mergeCell ref="D3:H3"/>
    <mergeCell ref="T3:X3"/>
    <mergeCell ref="N3:S3"/>
    <mergeCell ref="M33:S3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9CA8-9096-6441-9733-6E5CE67350F0}">
  <dimension ref="A4:B8"/>
  <sheetViews>
    <sheetView zoomScale="130" zoomScaleNormal="130" workbookViewId="0">
      <selection activeCell="B9" sqref="B9"/>
    </sheetView>
  </sheetViews>
  <sheetFormatPr defaultColWidth="11.42578125" defaultRowHeight="15"/>
  <sheetData>
    <row r="4" spans="1:2">
      <c r="A4" s="194">
        <v>45862</v>
      </c>
      <c r="B4" t="s">
        <v>89</v>
      </c>
    </row>
    <row r="5" spans="1:2">
      <c r="B5" t="s">
        <v>90</v>
      </c>
    </row>
    <row r="6" spans="1:2">
      <c r="B6" t="s">
        <v>91</v>
      </c>
    </row>
    <row r="7" spans="1:2">
      <c r="B7" t="s">
        <v>92</v>
      </c>
    </row>
    <row r="8" spans="1:2">
      <c r="B8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E7D0-97B5-43B6-A1FD-956DDFE50165}">
  <dimension ref="B1:AM60"/>
  <sheetViews>
    <sheetView topLeftCell="A6" zoomScaleNormal="100" workbookViewId="0">
      <selection activeCell="C30" sqref="C30"/>
    </sheetView>
  </sheetViews>
  <sheetFormatPr defaultColWidth="8.85546875" defaultRowHeight="15"/>
  <cols>
    <col min="1" max="1" width="6.42578125" customWidth="1"/>
    <col min="2" max="2" width="6.7109375" customWidth="1"/>
    <col min="3" max="3" width="7.42578125" customWidth="1"/>
    <col min="4" max="4" width="8.140625" customWidth="1"/>
    <col min="5" max="5" width="7.42578125" style="2" customWidth="1"/>
    <col min="6" max="6" width="11.85546875" style="29" customWidth="1"/>
    <col min="7" max="7" width="8.85546875" style="33" customWidth="1"/>
    <col min="8" max="8" width="6.140625" customWidth="1"/>
    <col min="9" max="9" width="7.28515625" customWidth="1"/>
    <col min="10" max="10" width="10.85546875" style="18" customWidth="1"/>
    <col min="11" max="11" width="13.140625" style="1" customWidth="1"/>
    <col min="12" max="12" width="11" style="85" customWidth="1"/>
    <col min="13" max="13" width="9.28515625" style="47" customWidth="1"/>
    <col min="14" max="15" width="6.7109375" customWidth="1"/>
    <col min="16" max="16" width="11.85546875" customWidth="1"/>
    <col min="17" max="17" width="9.7109375" customWidth="1"/>
    <col min="18" max="18" width="11.85546875" customWidth="1"/>
    <col min="19" max="38" width="10.7109375" customWidth="1"/>
    <col min="39" max="39" width="41.42578125" customWidth="1"/>
  </cols>
  <sheetData>
    <row r="1" spans="3:39" ht="15.95" thickBot="1">
      <c r="F1" s="30"/>
      <c r="G1" s="28"/>
      <c r="K1" s="11"/>
    </row>
    <row r="2" spans="3:39">
      <c r="C2" s="34" t="s">
        <v>94</v>
      </c>
      <c r="D2" s="35"/>
      <c r="E2" s="36"/>
      <c r="F2" s="36"/>
      <c r="G2" s="37"/>
      <c r="H2" s="35"/>
      <c r="I2" s="35"/>
      <c r="J2" s="80"/>
      <c r="K2" s="44"/>
      <c r="P2" s="174" t="s">
        <v>95</v>
      </c>
      <c r="Q2" s="173"/>
      <c r="R2" s="173"/>
    </row>
    <row r="3" spans="3:39">
      <c r="C3" s="38" t="s">
        <v>96</v>
      </c>
      <c r="F3" s="2"/>
      <c r="G3" s="12"/>
      <c r="K3" s="45"/>
      <c r="P3" s="5" t="s">
        <v>97</v>
      </c>
      <c r="Q3" s="5" t="s">
        <v>98</v>
      </c>
      <c r="R3" s="175" t="s">
        <v>99</v>
      </c>
      <c r="S3" s="5" t="s">
        <v>100</v>
      </c>
    </row>
    <row r="4" spans="3:39">
      <c r="C4" s="38" t="s">
        <v>101</v>
      </c>
      <c r="F4" s="2"/>
      <c r="G4" s="12"/>
      <c r="K4" s="45"/>
      <c r="P4" s="3" t="s">
        <v>31</v>
      </c>
      <c r="Q4" s="161">
        <v>0.1</v>
      </c>
      <c r="R4" s="176">
        <f>Q4*24*365</f>
        <v>876.00000000000011</v>
      </c>
      <c r="S4" s="21">
        <v>0.1</v>
      </c>
    </row>
    <row r="5" spans="3:39">
      <c r="C5" s="38" t="s">
        <v>102</v>
      </c>
      <c r="F5" s="2"/>
      <c r="G5" s="12"/>
      <c r="K5" s="45"/>
      <c r="P5" s="3" t="s">
        <v>103</v>
      </c>
      <c r="Q5" s="162">
        <v>7.5499999999999998E-2</v>
      </c>
      <c r="R5" s="176">
        <f>Q5*24*365</f>
        <v>661.38</v>
      </c>
      <c r="S5" s="3"/>
    </row>
    <row r="6" spans="3:39">
      <c r="C6" s="38" t="s">
        <v>104</v>
      </c>
      <c r="F6" s="2"/>
      <c r="G6" s="12"/>
      <c r="K6" s="45"/>
      <c r="P6" s="3" t="s">
        <v>105</v>
      </c>
      <c r="Q6" s="164">
        <f>Q4</f>
        <v>0.1</v>
      </c>
      <c r="R6" s="176">
        <f>Q6*24*365</f>
        <v>876.00000000000011</v>
      </c>
      <c r="S6" s="3"/>
    </row>
    <row r="7" spans="3:39">
      <c r="C7" s="38" t="s">
        <v>106</v>
      </c>
      <c r="F7" s="2"/>
      <c r="G7" s="12"/>
      <c r="K7" s="45"/>
      <c r="P7" s="235" t="s">
        <v>107</v>
      </c>
      <c r="Q7" s="235"/>
      <c r="R7" s="235"/>
      <c r="S7" s="21">
        <v>0.2</v>
      </c>
    </row>
    <row r="8" spans="3:39" ht="15.95" thickBot="1">
      <c r="C8" s="39"/>
      <c r="D8" s="40"/>
      <c r="E8" s="41"/>
      <c r="F8" s="41"/>
      <c r="G8" s="42"/>
      <c r="H8" s="40"/>
      <c r="I8" s="40"/>
      <c r="J8" s="81"/>
      <c r="K8" s="46"/>
    </row>
    <row r="9" spans="3:39">
      <c r="F9" s="30"/>
      <c r="G9" s="28"/>
    </row>
    <row r="10" spans="3:39">
      <c r="S10" s="152">
        <v>2024</v>
      </c>
      <c r="T10" s="152">
        <v>2024.25</v>
      </c>
      <c r="U10" s="152">
        <v>2024.5</v>
      </c>
      <c r="V10" s="152">
        <v>2024.75</v>
      </c>
      <c r="W10" s="152">
        <v>2025</v>
      </c>
      <c r="X10" s="152">
        <v>2025.25</v>
      </c>
      <c r="Y10" s="152">
        <f t="shared" ref="Y10:AL10" si="0">X10+0.25</f>
        <v>2025.5</v>
      </c>
      <c r="Z10" s="152">
        <f t="shared" si="0"/>
        <v>2025.75</v>
      </c>
      <c r="AA10" s="152">
        <f t="shared" si="0"/>
        <v>2026</v>
      </c>
      <c r="AB10" s="152">
        <f t="shared" si="0"/>
        <v>2026.25</v>
      </c>
      <c r="AC10" s="152">
        <f t="shared" si="0"/>
        <v>2026.5</v>
      </c>
      <c r="AD10" s="152">
        <f t="shared" si="0"/>
        <v>2026.75</v>
      </c>
      <c r="AE10" s="152">
        <f t="shared" si="0"/>
        <v>2027</v>
      </c>
      <c r="AF10" s="152">
        <f t="shared" si="0"/>
        <v>2027.25</v>
      </c>
      <c r="AG10" s="152">
        <f t="shared" si="0"/>
        <v>2027.5</v>
      </c>
      <c r="AH10" s="152">
        <f t="shared" si="0"/>
        <v>2027.75</v>
      </c>
      <c r="AI10" s="152">
        <f t="shared" si="0"/>
        <v>2028</v>
      </c>
      <c r="AJ10" s="152">
        <f t="shared" si="0"/>
        <v>2028.25</v>
      </c>
      <c r="AK10" s="152">
        <f t="shared" si="0"/>
        <v>2028.5</v>
      </c>
      <c r="AL10" s="152">
        <f t="shared" si="0"/>
        <v>2028.75</v>
      </c>
    </row>
    <row r="11" spans="3:39" s="163" customFormat="1" ht="14.45" customHeight="1">
      <c r="E11" s="165"/>
      <c r="F11" s="166"/>
      <c r="G11" s="167"/>
      <c r="K11" s="167"/>
      <c r="L11" s="167"/>
      <c r="P11" s="239" t="str">
        <f>P4</f>
        <v>Bayview</v>
      </c>
      <c r="Q11" s="239"/>
      <c r="R11" s="168" t="s">
        <v>108</v>
      </c>
      <c r="S11" s="172">
        <f>Q4</f>
        <v>0.1</v>
      </c>
      <c r="T11" s="172">
        <f>S11</f>
        <v>0.1</v>
      </c>
      <c r="U11" s="172">
        <f>T11</f>
        <v>0.1</v>
      </c>
      <c r="V11" s="172">
        <f>U11</f>
        <v>0.1</v>
      </c>
      <c r="W11" s="172">
        <f>V11</f>
        <v>0.1</v>
      </c>
      <c r="X11" s="172">
        <f t="shared" ref="X11:AL11" si="1">W11</f>
        <v>0.1</v>
      </c>
      <c r="Y11" s="172">
        <f>X11*(1+$S$4)</f>
        <v>0.11000000000000001</v>
      </c>
      <c r="Z11" s="172">
        <f t="shared" si="1"/>
        <v>0.11000000000000001</v>
      </c>
      <c r="AA11" s="172">
        <f>Z11</f>
        <v>0.11000000000000001</v>
      </c>
      <c r="AB11" s="172">
        <f t="shared" si="1"/>
        <v>0.11000000000000001</v>
      </c>
      <c r="AC11" s="172">
        <f>AB11*(1+$S$4)</f>
        <v>0.12100000000000002</v>
      </c>
      <c r="AD11" s="172">
        <f t="shared" si="1"/>
        <v>0.12100000000000002</v>
      </c>
      <c r="AE11" s="172">
        <f>AD11</f>
        <v>0.12100000000000002</v>
      </c>
      <c r="AF11" s="172">
        <f t="shared" si="1"/>
        <v>0.12100000000000002</v>
      </c>
      <c r="AG11" s="172">
        <f>AF11*(1+$S$4)</f>
        <v>0.13310000000000002</v>
      </c>
      <c r="AH11" s="172">
        <f t="shared" si="1"/>
        <v>0.13310000000000002</v>
      </c>
      <c r="AI11" s="172">
        <f>AH11</f>
        <v>0.13310000000000002</v>
      </c>
      <c r="AJ11" s="172">
        <f t="shared" si="1"/>
        <v>0.13310000000000002</v>
      </c>
      <c r="AK11" s="172">
        <f>AJ11*(1+$S$4)</f>
        <v>0.14641000000000004</v>
      </c>
      <c r="AL11" s="172">
        <f t="shared" si="1"/>
        <v>0.14641000000000004</v>
      </c>
      <c r="AM11" s="163" t="s">
        <v>109</v>
      </c>
    </row>
    <row r="12" spans="3:39" ht="14.45" customHeight="1">
      <c r="P12" s="239"/>
      <c r="Q12" s="239"/>
      <c r="R12" s="3" t="s">
        <v>110</v>
      </c>
      <c r="S12" s="87">
        <f>S11*24*365</f>
        <v>876.00000000000011</v>
      </c>
      <c r="T12" s="87">
        <f t="shared" ref="T12:AL12" si="2">T11*24*365</f>
        <v>876.00000000000011</v>
      </c>
      <c r="U12" s="87">
        <f t="shared" si="2"/>
        <v>876.00000000000011</v>
      </c>
      <c r="V12" s="87">
        <f t="shared" si="2"/>
        <v>876.00000000000011</v>
      </c>
      <c r="W12" s="87">
        <f t="shared" si="2"/>
        <v>876.00000000000011</v>
      </c>
      <c r="X12" s="87">
        <f t="shared" si="2"/>
        <v>876.00000000000011</v>
      </c>
      <c r="Y12" s="87">
        <f t="shared" si="2"/>
        <v>963.60000000000025</v>
      </c>
      <c r="Z12" s="87">
        <f t="shared" si="2"/>
        <v>963.60000000000025</v>
      </c>
      <c r="AA12" s="87">
        <f t="shared" si="2"/>
        <v>963.60000000000025</v>
      </c>
      <c r="AB12" s="87">
        <f t="shared" si="2"/>
        <v>963.60000000000025</v>
      </c>
      <c r="AC12" s="87">
        <f t="shared" si="2"/>
        <v>1059.9600000000003</v>
      </c>
      <c r="AD12" s="87">
        <f t="shared" si="2"/>
        <v>1059.9600000000003</v>
      </c>
      <c r="AE12" s="87">
        <f t="shared" si="2"/>
        <v>1059.9600000000003</v>
      </c>
      <c r="AF12" s="87">
        <f t="shared" si="2"/>
        <v>1059.9600000000003</v>
      </c>
      <c r="AG12" s="87">
        <f t="shared" si="2"/>
        <v>1165.9560000000004</v>
      </c>
      <c r="AH12" s="87">
        <f t="shared" si="2"/>
        <v>1165.9560000000004</v>
      </c>
      <c r="AI12" s="87">
        <f t="shared" si="2"/>
        <v>1165.9560000000004</v>
      </c>
      <c r="AJ12" s="87">
        <f t="shared" si="2"/>
        <v>1165.9560000000004</v>
      </c>
      <c r="AK12" s="87">
        <f t="shared" si="2"/>
        <v>1282.5516000000005</v>
      </c>
      <c r="AL12" s="87">
        <f t="shared" si="2"/>
        <v>1282.5516000000005</v>
      </c>
    </row>
    <row r="13" spans="3:39" s="163" customFormat="1" ht="14.45" customHeight="1">
      <c r="E13" s="165"/>
      <c r="F13" s="166"/>
      <c r="G13" s="167"/>
      <c r="K13" s="167"/>
      <c r="L13" s="167"/>
      <c r="P13" s="239" t="str">
        <f>P5</f>
        <v>MTW</v>
      </c>
      <c r="Q13" s="239"/>
      <c r="R13" s="168" t="s">
        <v>108</v>
      </c>
      <c r="S13" s="172">
        <f>Q5</f>
        <v>7.5499999999999998E-2</v>
      </c>
      <c r="T13" s="172">
        <f>S13</f>
        <v>7.5499999999999998E-2</v>
      </c>
      <c r="U13" s="172">
        <v>9.0999999999999998E-2</v>
      </c>
      <c r="V13" s="172">
        <v>9.0999999999999998E-2</v>
      </c>
      <c r="W13" s="172">
        <v>9.0999999999999998E-2</v>
      </c>
      <c r="X13" s="172">
        <v>9.0999999999999998E-2</v>
      </c>
      <c r="Y13" s="172">
        <v>9.0999999999999998E-2</v>
      </c>
      <c r="Z13" s="172">
        <v>9.0999999999999998E-2</v>
      </c>
      <c r="AA13" s="172">
        <v>9.0999999999999998E-2</v>
      </c>
      <c r="AB13" s="172">
        <v>9.0999999999999998E-2</v>
      </c>
      <c r="AC13" s="172">
        <v>9.0999999999999998E-2</v>
      </c>
      <c r="AD13" s="172">
        <v>9.0999999999999998E-2</v>
      </c>
      <c r="AE13" s="172">
        <v>9.0999999999999998E-2</v>
      </c>
      <c r="AF13" s="172">
        <v>9.0999999999999998E-2</v>
      </c>
      <c r="AG13" s="172">
        <f>AF13*1.1</f>
        <v>0.10010000000000001</v>
      </c>
      <c r="AH13" s="172">
        <f t="shared" ref="AH13:AL13" si="3">AG13</f>
        <v>0.10010000000000001</v>
      </c>
      <c r="AI13" s="172">
        <f t="shared" si="3"/>
        <v>0.10010000000000001</v>
      </c>
      <c r="AJ13" s="172">
        <f t="shared" si="3"/>
        <v>0.10010000000000001</v>
      </c>
      <c r="AK13" s="172">
        <f>AJ13*1.1</f>
        <v>0.11011000000000001</v>
      </c>
      <c r="AL13" s="172">
        <f t="shared" si="3"/>
        <v>0.11011000000000001</v>
      </c>
      <c r="AM13" s="163" t="s">
        <v>111</v>
      </c>
    </row>
    <row r="14" spans="3:39" ht="14.45" customHeight="1">
      <c r="P14" s="239"/>
      <c r="Q14" s="239"/>
      <c r="R14" s="3" t="s">
        <v>110</v>
      </c>
      <c r="S14" s="87">
        <f>S13*24*365</f>
        <v>661.38</v>
      </c>
      <c r="T14" s="87">
        <f t="shared" ref="T14" si="4">T13*24*365</f>
        <v>661.38</v>
      </c>
      <c r="U14" s="87">
        <f t="shared" ref="U14" si="5">U13*24*365</f>
        <v>797.16000000000008</v>
      </c>
      <c r="V14" s="87">
        <f t="shared" ref="V14" si="6">V13*24*365</f>
        <v>797.16000000000008</v>
      </c>
      <c r="W14" s="87">
        <f t="shared" ref="W14" si="7">W13*24*365</f>
        <v>797.16000000000008</v>
      </c>
      <c r="X14" s="87">
        <f t="shared" ref="X14" si="8">X13*24*365</f>
        <v>797.16000000000008</v>
      </c>
      <c r="Y14" s="87">
        <f t="shared" ref="Y14" si="9">Y13*24*365</f>
        <v>797.16000000000008</v>
      </c>
      <c r="Z14" s="87">
        <f t="shared" ref="Z14" si="10">Z13*24*365</f>
        <v>797.16000000000008</v>
      </c>
      <c r="AA14" s="87">
        <f t="shared" ref="AA14" si="11">AA13*24*365</f>
        <v>797.16000000000008</v>
      </c>
      <c r="AB14" s="87">
        <f t="shared" ref="AB14" si="12">AB13*24*365</f>
        <v>797.16000000000008</v>
      </c>
      <c r="AC14" s="87">
        <f t="shared" ref="AC14" si="13">AC13*24*365</f>
        <v>797.16000000000008</v>
      </c>
      <c r="AD14" s="87">
        <f t="shared" ref="AD14" si="14">AD13*24*365</f>
        <v>797.16000000000008</v>
      </c>
      <c r="AE14" s="87">
        <f t="shared" ref="AE14" si="15">AE13*24*365</f>
        <v>797.16000000000008</v>
      </c>
      <c r="AF14" s="87">
        <f t="shared" ref="AF14" si="16">AF13*24*365</f>
        <v>797.16000000000008</v>
      </c>
      <c r="AG14" s="87">
        <f t="shared" ref="AG14" si="17">AG13*24*365</f>
        <v>876.87599999999998</v>
      </c>
      <c r="AH14" s="87">
        <f t="shared" ref="AH14" si="18">AH13*24*365</f>
        <v>876.87599999999998</v>
      </c>
      <c r="AI14" s="87">
        <f t="shared" ref="AI14" si="19">AI13*24*365</f>
        <v>876.87599999999998</v>
      </c>
      <c r="AJ14" s="87">
        <f t="shared" ref="AJ14" si="20">AJ13*24*365</f>
        <v>876.87599999999998</v>
      </c>
      <c r="AK14" s="87">
        <f t="shared" ref="AK14" si="21">AK13*24*365</f>
        <v>964.56360000000006</v>
      </c>
      <c r="AL14" s="87">
        <f t="shared" ref="AL14" si="22">AL13*24*365</f>
        <v>964.56360000000006</v>
      </c>
    </row>
    <row r="15" spans="3:39" s="163" customFormat="1">
      <c r="E15" s="165"/>
      <c r="F15" s="166"/>
      <c r="G15" s="167"/>
      <c r="K15" s="167"/>
      <c r="L15" s="167"/>
      <c r="P15" s="240" t="str">
        <f>P6</f>
        <v>Homewood</v>
      </c>
      <c r="Q15" s="240"/>
      <c r="R15" s="168" t="s">
        <v>108</v>
      </c>
      <c r="S15" s="172">
        <f>Q6</f>
        <v>0.1</v>
      </c>
      <c r="T15" s="172">
        <f>S15</f>
        <v>0.1</v>
      </c>
      <c r="U15" s="172">
        <f>T15</f>
        <v>0.1</v>
      </c>
      <c r="V15" s="172">
        <f>U15</f>
        <v>0.1</v>
      </c>
      <c r="W15" s="172">
        <f>V15*(1+$S$4)</f>
        <v>0.11000000000000001</v>
      </c>
      <c r="X15" s="172">
        <f t="shared" ref="X15" si="23">W15</f>
        <v>0.11000000000000001</v>
      </c>
      <c r="Y15" s="172">
        <f t="shared" ref="Y15" si="24">X15</f>
        <v>0.11000000000000001</v>
      </c>
      <c r="Z15" s="172">
        <f t="shared" ref="Z15" si="25">Y15</f>
        <v>0.11000000000000001</v>
      </c>
      <c r="AA15" s="172">
        <f>Z15*(1+$S$4)</f>
        <v>0.12100000000000002</v>
      </c>
      <c r="AB15" s="172">
        <f t="shared" ref="AB15" si="26">AA15</f>
        <v>0.12100000000000002</v>
      </c>
      <c r="AC15" s="172">
        <v>0.13164999999999999</v>
      </c>
      <c r="AD15" s="172">
        <v>0.13164999999999999</v>
      </c>
      <c r="AE15" s="172">
        <f>AD15</f>
        <v>0.13164999999999999</v>
      </c>
      <c r="AF15" s="172">
        <f t="shared" ref="AF15" si="27">AE15</f>
        <v>0.13164999999999999</v>
      </c>
      <c r="AG15" s="172">
        <v>0.13377</v>
      </c>
      <c r="AH15" s="172">
        <v>0.13377</v>
      </c>
      <c r="AI15" s="172">
        <v>0.13880000000000001</v>
      </c>
      <c r="AJ15" s="172">
        <f t="shared" ref="AJ15" si="28">AI15</f>
        <v>0.13880000000000001</v>
      </c>
      <c r="AK15" s="172">
        <f t="shared" ref="AK15" si="29">AJ15</f>
        <v>0.13880000000000001</v>
      </c>
      <c r="AL15" s="172">
        <f t="shared" ref="AL15" si="30">AK15</f>
        <v>0.13880000000000001</v>
      </c>
      <c r="AM15" s="163" t="s">
        <v>112</v>
      </c>
    </row>
    <row r="16" spans="3:39">
      <c r="P16" s="240"/>
      <c r="Q16" s="240"/>
      <c r="R16" s="3" t="s">
        <v>110</v>
      </c>
      <c r="S16" s="87">
        <f>S15*24*365</f>
        <v>876.00000000000011</v>
      </c>
      <c r="T16" s="87">
        <f t="shared" ref="T16" si="31">T15*24*365</f>
        <v>876.00000000000011</v>
      </c>
      <c r="U16" s="87">
        <f t="shared" ref="U16" si="32">U15*24*365</f>
        <v>876.00000000000011</v>
      </c>
      <c r="V16" s="87">
        <f t="shared" ref="V16" si="33">V15*24*365</f>
        <v>876.00000000000011</v>
      </c>
      <c r="W16" s="87">
        <f t="shared" ref="W16" si="34">W15*24*365</f>
        <v>963.60000000000025</v>
      </c>
      <c r="X16" s="87">
        <f t="shared" ref="X16" si="35">X15*24*365</f>
        <v>963.60000000000025</v>
      </c>
      <c r="Y16" s="87">
        <f t="shared" ref="Y16" si="36">Y15*24*365</f>
        <v>963.60000000000025</v>
      </c>
      <c r="Z16" s="87">
        <f t="shared" ref="Z16" si="37">Z15*24*365</f>
        <v>963.60000000000025</v>
      </c>
      <c r="AA16" s="87">
        <f t="shared" ref="AA16" si="38">AA15*24*365</f>
        <v>1059.9600000000003</v>
      </c>
      <c r="AB16" s="87">
        <f t="shared" ref="AB16" si="39">AB15*24*365</f>
        <v>1059.9600000000003</v>
      </c>
      <c r="AC16" s="87">
        <f t="shared" ref="AC16" si="40">AC15*24*365</f>
        <v>1153.2539999999999</v>
      </c>
      <c r="AD16" s="87">
        <f t="shared" ref="AD16" si="41">AD15*24*365</f>
        <v>1153.2539999999999</v>
      </c>
      <c r="AE16" s="87">
        <f t="shared" ref="AE16" si="42">AE15*24*365</f>
        <v>1153.2539999999999</v>
      </c>
      <c r="AF16" s="87">
        <f t="shared" ref="AF16" si="43">AF15*24*365</f>
        <v>1153.2539999999999</v>
      </c>
      <c r="AG16" s="87">
        <f t="shared" ref="AG16" si="44">AG15*24*365</f>
        <v>1171.8252</v>
      </c>
      <c r="AH16" s="87">
        <f t="shared" ref="AH16" si="45">AH15*24*365</f>
        <v>1171.8252</v>
      </c>
      <c r="AI16" s="87">
        <f t="shared" ref="AI16" si="46">AI15*24*365</f>
        <v>1215.8879999999999</v>
      </c>
      <c r="AJ16" s="87">
        <f t="shared" ref="AJ16" si="47">AJ15*24*365</f>
        <v>1215.8879999999999</v>
      </c>
      <c r="AK16" s="87">
        <f t="shared" ref="AK16" si="48">AK15*24*365</f>
        <v>1215.8879999999999</v>
      </c>
      <c r="AL16" s="87">
        <f t="shared" ref="AL16" si="49">AL15*24*365</f>
        <v>1215.8879999999999</v>
      </c>
    </row>
    <row r="18" spans="3:32">
      <c r="C18" s="238" t="s">
        <v>113</v>
      </c>
      <c r="D18" s="238"/>
      <c r="E18" s="238"/>
      <c r="F18" s="238" t="s">
        <v>114</v>
      </c>
      <c r="G18" s="238"/>
      <c r="H18" s="238"/>
      <c r="I18" s="238" t="s">
        <v>115</v>
      </c>
      <c r="J18" s="238"/>
      <c r="K18" s="238"/>
      <c r="L18" s="238"/>
      <c r="M18" s="238"/>
      <c r="N18" s="238"/>
      <c r="O18" s="2"/>
    </row>
    <row r="19" spans="3:32">
      <c r="C19" s="9" t="s">
        <v>116</v>
      </c>
      <c r="D19" s="9" t="s">
        <v>40</v>
      </c>
      <c r="E19" s="9" t="s">
        <v>117</v>
      </c>
      <c r="F19" s="8" t="s">
        <v>118</v>
      </c>
      <c r="G19" s="43" t="s">
        <v>119</v>
      </c>
      <c r="H19" s="9" t="s">
        <v>120</v>
      </c>
      <c r="I19" s="9" t="s">
        <v>121</v>
      </c>
      <c r="J19" s="82" t="s">
        <v>122</v>
      </c>
      <c r="K19" s="8" t="s">
        <v>123</v>
      </c>
      <c r="L19" s="86" t="s">
        <v>124</v>
      </c>
      <c r="M19" s="48" t="s">
        <v>125</v>
      </c>
      <c r="N19" s="4" t="s">
        <v>126</v>
      </c>
    </row>
    <row r="20" spans="3:32">
      <c r="C20" s="3" t="s">
        <v>53</v>
      </c>
      <c r="D20" s="5" t="s">
        <v>26</v>
      </c>
      <c r="E20" s="5" t="s">
        <v>127</v>
      </c>
      <c r="F20" s="31">
        <v>112000</v>
      </c>
      <c r="G20" s="7">
        <v>10</v>
      </c>
      <c r="H20" s="3">
        <v>8</v>
      </c>
      <c r="I20" s="3">
        <v>10</v>
      </c>
      <c r="J20" s="15">
        <f>I20*G20/1000</f>
        <v>0.1</v>
      </c>
      <c r="K20" s="6">
        <f t="shared" ref="K20:K29" si="50">I20*F20</f>
        <v>1120000</v>
      </c>
      <c r="L20" s="87">
        <f t="shared" ref="L20:L30" si="51">J20*$R$4</f>
        <v>87.600000000000023</v>
      </c>
      <c r="M20" s="49">
        <f t="shared" ref="M20:M29" si="52">H20*I20</f>
        <v>80</v>
      </c>
      <c r="N20" s="3" t="s">
        <v>26</v>
      </c>
    </row>
    <row r="21" spans="3:32">
      <c r="C21" s="3" t="s">
        <v>55</v>
      </c>
      <c r="D21" s="5" t="s">
        <v>26</v>
      </c>
      <c r="E21" s="5" t="s">
        <v>128</v>
      </c>
      <c r="F21" s="31">
        <v>107000</v>
      </c>
      <c r="G21" s="7">
        <v>6.25</v>
      </c>
      <c r="H21" s="3">
        <v>4</v>
      </c>
      <c r="I21" s="3">
        <v>16</v>
      </c>
      <c r="J21" s="15">
        <f t="shared" ref="J21:J30" si="53">I21*G21/1000</f>
        <v>0.1</v>
      </c>
      <c r="K21" s="6">
        <f t="shared" ref="K21" si="54">I21*F21</f>
        <v>1712000</v>
      </c>
      <c r="L21" s="87">
        <f t="shared" si="51"/>
        <v>87.600000000000023</v>
      </c>
      <c r="M21" s="49">
        <f t="shared" ref="M21" si="55">H21*I21</f>
        <v>64</v>
      </c>
      <c r="N21" s="3" t="s">
        <v>26</v>
      </c>
      <c r="AF21" s="3"/>
    </row>
    <row r="22" spans="3:32">
      <c r="C22" s="3" t="s">
        <v>129</v>
      </c>
      <c r="D22" s="5" t="s">
        <v>26</v>
      </c>
      <c r="E22" s="5" t="s">
        <v>127</v>
      </c>
      <c r="F22" s="31">
        <v>250000</v>
      </c>
      <c r="G22" s="7">
        <v>12.5</v>
      </c>
      <c r="H22" s="3">
        <v>8</v>
      </c>
      <c r="I22" s="3">
        <v>8</v>
      </c>
      <c r="J22" s="15">
        <f t="shared" si="53"/>
        <v>0.1</v>
      </c>
      <c r="K22" s="6">
        <f t="shared" si="50"/>
        <v>2000000</v>
      </c>
      <c r="L22" s="87">
        <f t="shared" si="51"/>
        <v>87.600000000000023</v>
      </c>
      <c r="M22" s="49">
        <f t="shared" si="52"/>
        <v>64</v>
      </c>
      <c r="N22" s="3" t="s">
        <v>26</v>
      </c>
    </row>
    <row r="23" spans="3:32">
      <c r="C23" s="3" t="s">
        <v>56</v>
      </c>
      <c r="D23" s="5" t="s">
        <v>26</v>
      </c>
      <c r="E23" s="5" t="s">
        <v>130</v>
      </c>
      <c r="F23" s="31">
        <v>275000</v>
      </c>
      <c r="G23" s="7">
        <v>10</v>
      </c>
      <c r="H23" s="3">
        <v>8</v>
      </c>
      <c r="I23" s="3">
        <v>10</v>
      </c>
      <c r="J23" s="15">
        <f t="shared" si="53"/>
        <v>0.1</v>
      </c>
      <c r="K23" s="6">
        <f t="shared" si="50"/>
        <v>2750000</v>
      </c>
      <c r="L23" s="87">
        <f t="shared" si="51"/>
        <v>87.600000000000023</v>
      </c>
      <c r="M23" s="49">
        <f t="shared" si="52"/>
        <v>80</v>
      </c>
      <c r="N23" s="3" t="s">
        <v>26</v>
      </c>
    </row>
    <row r="24" spans="3:32">
      <c r="C24" s="3" t="s">
        <v>52</v>
      </c>
      <c r="D24" s="5" t="s">
        <v>26</v>
      </c>
      <c r="E24" s="5" t="s">
        <v>128</v>
      </c>
      <c r="F24" s="31">
        <v>61300</v>
      </c>
      <c r="G24" s="7">
        <v>5</v>
      </c>
      <c r="H24" s="3">
        <v>8</v>
      </c>
      <c r="I24" s="3">
        <v>20</v>
      </c>
      <c r="J24" s="15">
        <f t="shared" si="53"/>
        <v>0.1</v>
      </c>
      <c r="K24" s="6">
        <f t="shared" si="50"/>
        <v>1226000</v>
      </c>
      <c r="L24" s="87">
        <f t="shared" si="51"/>
        <v>87.600000000000023</v>
      </c>
      <c r="M24" s="49">
        <f t="shared" si="52"/>
        <v>160</v>
      </c>
      <c r="N24" s="3" t="s">
        <v>26</v>
      </c>
    </row>
    <row r="25" spans="3:32">
      <c r="C25" s="3" t="s">
        <v>131</v>
      </c>
      <c r="D25" s="5" t="s">
        <v>26</v>
      </c>
      <c r="E25" s="5" t="s">
        <v>132</v>
      </c>
      <c r="F25" s="31">
        <v>7000000</v>
      </c>
      <c r="G25" s="7">
        <v>135</v>
      </c>
      <c r="H25" s="3">
        <v>72</v>
      </c>
      <c r="I25" s="3">
        <v>1</v>
      </c>
      <c r="J25" s="15">
        <f t="shared" si="53"/>
        <v>0.13500000000000001</v>
      </c>
      <c r="K25" s="6">
        <f t="shared" si="50"/>
        <v>7000000</v>
      </c>
      <c r="L25" s="87">
        <f t="shared" si="51"/>
        <v>118.26000000000002</v>
      </c>
      <c r="M25" s="49">
        <f t="shared" si="52"/>
        <v>72</v>
      </c>
      <c r="N25" s="3" t="s">
        <v>26</v>
      </c>
    </row>
    <row r="26" spans="3:32">
      <c r="C26" s="3" t="s">
        <v>46</v>
      </c>
      <c r="D26" s="5" t="s">
        <v>27</v>
      </c>
      <c r="E26" s="5" t="s">
        <v>130</v>
      </c>
      <c r="F26" s="31">
        <v>10000</v>
      </c>
      <c r="G26" s="7">
        <v>1</v>
      </c>
      <c r="H26" s="3">
        <v>128</v>
      </c>
      <c r="I26" s="3">
        <v>100</v>
      </c>
      <c r="J26" s="15">
        <f t="shared" si="53"/>
        <v>0.1</v>
      </c>
      <c r="K26" s="6">
        <f t="shared" si="50"/>
        <v>1000000</v>
      </c>
      <c r="L26" s="87">
        <f t="shared" si="51"/>
        <v>87.600000000000023</v>
      </c>
      <c r="M26" s="49">
        <f t="shared" si="52"/>
        <v>12800</v>
      </c>
      <c r="N26" s="3" t="s">
        <v>133</v>
      </c>
    </row>
    <row r="27" spans="3:32">
      <c r="C27" s="3" t="s">
        <v>44</v>
      </c>
      <c r="D27" s="5" t="s">
        <v>27</v>
      </c>
      <c r="E27" s="5" t="s">
        <v>130</v>
      </c>
      <c r="F27" s="31">
        <v>15000</v>
      </c>
      <c r="G27" s="7">
        <v>1.25</v>
      </c>
      <c r="H27" s="3">
        <v>256</v>
      </c>
      <c r="I27" s="3">
        <v>80</v>
      </c>
      <c r="J27" s="15">
        <f t="shared" si="53"/>
        <v>0.1</v>
      </c>
      <c r="K27" s="6">
        <f t="shared" si="50"/>
        <v>1200000</v>
      </c>
      <c r="L27" s="87">
        <f t="shared" si="51"/>
        <v>87.600000000000023</v>
      </c>
      <c r="M27" s="49">
        <f t="shared" si="52"/>
        <v>20480</v>
      </c>
      <c r="N27" s="3" t="s">
        <v>133</v>
      </c>
    </row>
    <row r="28" spans="3:32">
      <c r="C28" s="3" t="s">
        <v>51</v>
      </c>
      <c r="D28" s="5" t="s">
        <v>30</v>
      </c>
      <c r="E28" s="5" t="s">
        <v>127</v>
      </c>
      <c r="F28" s="31">
        <v>42000</v>
      </c>
      <c r="G28" s="7">
        <v>0.8</v>
      </c>
      <c r="H28" s="3">
        <v>0.3</v>
      </c>
      <c r="I28" s="3">
        <v>125</v>
      </c>
      <c r="J28" s="15">
        <f t="shared" si="53"/>
        <v>0.1</v>
      </c>
      <c r="K28" s="6">
        <f t="shared" si="50"/>
        <v>5250000</v>
      </c>
      <c r="L28" s="87">
        <f t="shared" si="51"/>
        <v>87.600000000000023</v>
      </c>
      <c r="M28" s="49">
        <f t="shared" si="52"/>
        <v>37.5</v>
      </c>
      <c r="N28" s="3" t="s">
        <v>134</v>
      </c>
      <c r="P28" s="17"/>
    </row>
    <row r="29" spans="3:32">
      <c r="C29" s="3" t="s">
        <v>50</v>
      </c>
      <c r="D29" s="5" t="s">
        <v>29</v>
      </c>
      <c r="E29" s="5" t="s">
        <v>127</v>
      </c>
      <c r="F29" s="31">
        <v>28571</v>
      </c>
      <c r="G29" s="7">
        <f>100/140</f>
        <v>0.7142857142857143</v>
      </c>
      <c r="H29" s="3">
        <v>0.53</v>
      </c>
      <c r="I29" s="3">
        <v>140</v>
      </c>
      <c r="J29" s="15">
        <f t="shared" si="53"/>
        <v>0.1</v>
      </c>
      <c r="K29" s="6">
        <f t="shared" si="50"/>
        <v>3999940</v>
      </c>
      <c r="L29" s="87">
        <f t="shared" si="51"/>
        <v>87.600000000000023</v>
      </c>
      <c r="M29" s="49">
        <f t="shared" si="52"/>
        <v>74.2</v>
      </c>
      <c r="N29" s="3" t="s">
        <v>134</v>
      </c>
      <c r="P29" s="17"/>
    </row>
    <row r="30" spans="3:32">
      <c r="C30" s="63" t="s">
        <v>48</v>
      </c>
      <c r="D30" s="5" t="s">
        <v>26</v>
      </c>
      <c r="E30" s="5" t="s">
        <v>130</v>
      </c>
      <c r="F30" s="62">
        <v>20000</v>
      </c>
      <c r="G30" s="83">
        <v>5</v>
      </c>
      <c r="H30" s="84">
        <v>4</v>
      </c>
      <c r="I30" s="84">
        <v>20</v>
      </c>
      <c r="J30" s="15">
        <f t="shared" si="53"/>
        <v>0.1</v>
      </c>
      <c r="K30" s="6">
        <f>I30*F30</f>
        <v>400000</v>
      </c>
      <c r="L30" s="87">
        <f t="shared" si="51"/>
        <v>87.600000000000023</v>
      </c>
      <c r="M30" s="49">
        <f t="shared" ref="M30" si="56">H30*I30</f>
        <v>80</v>
      </c>
      <c r="N30" s="3" t="s">
        <v>26</v>
      </c>
    </row>
    <row r="31" spans="3:32">
      <c r="C31" s="50" t="s">
        <v>58</v>
      </c>
      <c r="D31" s="50" t="s">
        <v>59</v>
      </c>
      <c r="E31" s="5"/>
      <c r="F31" s="31"/>
      <c r="G31" s="7"/>
      <c r="H31" s="3"/>
      <c r="I31" s="3"/>
      <c r="J31" s="15"/>
      <c r="K31" s="6"/>
      <c r="L31" s="87"/>
      <c r="M31" s="49"/>
      <c r="N31" s="3"/>
    </row>
    <row r="53" spans="2:12">
      <c r="C53" s="17"/>
      <c r="D53" s="17"/>
    </row>
    <row r="59" spans="2:12">
      <c r="B59" s="17"/>
    </row>
    <row r="60" spans="2:12">
      <c r="B60" s="17"/>
      <c r="F60" s="32"/>
      <c r="G60" s="27"/>
      <c r="K60" s="26"/>
      <c r="L60" s="88"/>
    </row>
  </sheetData>
  <mergeCells count="7">
    <mergeCell ref="P7:R7"/>
    <mergeCell ref="F18:H18"/>
    <mergeCell ref="C18:E18"/>
    <mergeCell ref="I18:N18"/>
    <mergeCell ref="P11:Q12"/>
    <mergeCell ref="P13:Q14"/>
    <mergeCell ref="P15:Q16"/>
  </mergeCells>
  <dataValidations count="1">
    <dataValidation type="list" allowBlank="1" showInputMessage="1" showErrorMessage="1" sqref="J35" xr:uid="{C2FEB08E-ED16-4CC3-89F8-0F88B461DD6F}">
      <formula1>$C$20:$C$31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Szalay</dc:creator>
  <cp:keywords/>
  <dc:description/>
  <cp:lastModifiedBy/>
  <cp:revision/>
  <dcterms:created xsi:type="dcterms:W3CDTF">2023-08-26T02:40:24Z</dcterms:created>
  <dcterms:modified xsi:type="dcterms:W3CDTF">2026-01-07T18:28:11Z</dcterms:modified>
  <cp:category/>
  <cp:contentStatus/>
</cp:coreProperties>
</file>